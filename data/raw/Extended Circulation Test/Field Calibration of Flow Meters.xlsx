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egi\OneDrive - University of Utah\Desktop\FORGE\Circulation Plan\Recorded Data\"/>
    </mc:Choice>
  </mc:AlternateContent>
  <xr:revisionPtr revIDLastSave="0" documentId="13_ncr:1_{47ED096F-720D-4198-AAF0-03CE5CB6927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Calibration" sheetId="3" r:id="rId1"/>
    <sheet name="Chart1" sheetId="2" state="hidden" r:id="rId2"/>
    <sheet name="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9" i="1"/>
  <c r="C11" i="1"/>
  <c r="C10" i="1"/>
  <c r="C8" i="1"/>
  <c r="C6" i="1"/>
  <c r="C5" i="1"/>
</calcChain>
</file>

<file path=xl/sharedStrings.xml><?xml version="1.0" encoding="utf-8"?>
<sst xmlns="http://schemas.openxmlformats.org/spreadsheetml/2006/main" count="6" uniqueCount="5">
  <si>
    <t>Liberty Rate (bpm)</t>
  </si>
  <si>
    <t>Liberty Rate (gpm)</t>
  </si>
  <si>
    <t>Pason Sep flow 1 (gom)</t>
  </si>
  <si>
    <t>Pason Sep flow 2 (gpm)</t>
  </si>
  <si>
    <t>Pason 16B Discharge (gpm)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</si>
</sst>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microsoft.com/office/2017/10/relationships/person" Target="persons/perso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/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Field Calibration of 3" Turbine Flow Meters </a:t>
            </a:r>
          </a:p>
        </c:rich>
      </c:tx>
      <c:layout>
        <c:manualLayout>
          <c:xMode val="edge"/>
          <c:yMode val="edge"/>
          <c:x val="0.22100502273377381"/>
          <c:y val="2.8309636087429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/>
              </a:solidFill>
              <a:latin typeface="Candara" panose="020E05020303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55856043616315"/>
          <c:y val="0.11781999243059561"/>
          <c:w val="0.84148189362007908"/>
          <c:h val="0.71955014714069832"/>
        </c:manualLayout>
      </c:layout>
      <c:scatterChart>
        <c:scatterStyle val="lineMarker"/>
        <c:varyColors val="0"/>
        <c:ser>
          <c:idx val="1"/>
          <c:order val="0"/>
          <c:tx>
            <c:v>Separator Discharge Flowmeter 1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solidFill>
                <a:srgbClr val="3333FF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F0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42003529638473153"/>
                  <c:y val="0.2500536975521399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800" b="0" i="0" u="none" strike="noStrike" kern="1200" baseline="0">
                        <a:solidFill>
                          <a:srgbClr val="000000"/>
                        </a:solidFill>
                        <a:latin typeface="Candara" panose="020E0502030303020204" pitchFamily="34" charset="0"/>
                        <a:ea typeface="+mn-ea"/>
                        <a:cs typeface="+mn-cs"/>
                      </a:defRPr>
                    </a:pPr>
                    <a:r>
                      <a:rPr lang="en-US"/>
                      <a:t>sep 1 = 2.18E-04x</a:t>
                    </a:r>
                    <a:r>
                      <a:rPr lang="en-US" baseline="30000"/>
                      <a:t>2</a:t>
                    </a:r>
                    <a:r>
                      <a:rPr lang="en-US"/>
                      <a:t> + 7.98E-01x</a:t>
                    </a:r>
                    <a:br>
                      <a:rPr lang="en-US"/>
                    </a:br>
                    <a:r>
                      <a:rPr lang="en-US"/>
                      <a:t>R² = 9.99E-01</a:t>
                    </a:r>
                  </a:p>
                </c:rich>
              </c:tx>
              <c:numFmt formatCode="0.00E+00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rgbClr val="000000"/>
                      </a:solidFill>
                      <a:latin typeface="Candara" panose="020E0502030303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data!$E$4:$E$11</c:f>
              <c:numCache>
                <c:formatCode>General</c:formatCode>
                <c:ptCount val="8"/>
                <c:pt idx="0">
                  <c:v>0</c:v>
                </c:pt>
                <c:pt idx="1">
                  <c:v>131.5</c:v>
                </c:pt>
                <c:pt idx="2">
                  <c:v>132</c:v>
                </c:pt>
                <c:pt idx="3">
                  <c:v>247</c:v>
                </c:pt>
                <c:pt idx="4">
                  <c:v>242</c:v>
                </c:pt>
                <c:pt idx="5">
                  <c:v>379</c:v>
                </c:pt>
                <c:pt idx="6">
                  <c:v>383</c:v>
                </c:pt>
                <c:pt idx="7">
                  <c:v>470</c:v>
                </c:pt>
              </c:numCache>
            </c:numRef>
          </c:xVal>
          <c:yVal>
            <c:numRef>
              <c:f>data!$C$4:$C$11</c:f>
              <c:numCache>
                <c:formatCode>General</c:formatCode>
                <c:ptCount val="8"/>
                <c:pt idx="0">
                  <c:v>0</c:v>
                </c:pt>
                <c:pt idx="1">
                  <c:v>105</c:v>
                </c:pt>
                <c:pt idx="2">
                  <c:v>105</c:v>
                </c:pt>
                <c:pt idx="3">
                  <c:v>210</c:v>
                </c:pt>
                <c:pt idx="4">
                  <c:v>210</c:v>
                </c:pt>
                <c:pt idx="5">
                  <c:v>336</c:v>
                </c:pt>
                <c:pt idx="6">
                  <c:v>340.2</c:v>
                </c:pt>
                <c:pt idx="7">
                  <c:v>420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08-4C32-937B-4AD1DAC56526}"/>
            </c:ext>
          </c:extLst>
        </c:ser>
        <c:ser>
          <c:idx val="2"/>
          <c:order val="1"/>
          <c:tx>
            <c:v>Separator Discharge Flowmeter 2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92D050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42319582007254292"/>
                  <c:y val="0.1045510844835648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800" b="0" i="0" u="none" strike="noStrike" kern="1200" baseline="0">
                        <a:solidFill>
                          <a:srgbClr val="000000"/>
                        </a:solidFill>
                        <a:latin typeface="Candara" panose="020E0502030303020204" pitchFamily="34" charset="0"/>
                        <a:ea typeface="+mn-ea"/>
                        <a:cs typeface="+mn-cs"/>
                      </a:defRPr>
                    </a:pPr>
                    <a:r>
                      <a:rPr lang="en-US" baseline="0"/>
                      <a:t>sep 2 = 1.41E-04x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+ 8.27E-01x</a:t>
                    </a:r>
                    <a:br>
                      <a:rPr lang="en-US" baseline="0"/>
                    </a:br>
                    <a:r>
                      <a:rPr lang="en-US" baseline="0"/>
                      <a:t>R² = 1.00E+00</a:t>
                    </a:r>
                    <a:endParaRPr lang="en-US"/>
                  </a:p>
                </c:rich>
              </c:tx>
              <c:numFmt formatCode="0.00E+00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rgbClr val="000000"/>
                      </a:solidFill>
                      <a:latin typeface="Candara" panose="020E0502030303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data!$F$4:$F$11</c:f>
              <c:numCache>
                <c:formatCode>General</c:formatCode>
                <c:ptCount val="8"/>
                <c:pt idx="0">
                  <c:v>0</c:v>
                </c:pt>
                <c:pt idx="1">
                  <c:v>122</c:v>
                </c:pt>
                <c:pt idx="2">
                  <c:v>132</c:v>
                </c:pt>
                <c:pt idx="3">
                  <c:v>242</c:v>
                </c:pt>
                <c:pt idx="4">
                  <c:v>243</c:v>
                </c:pt>
                <c:pt idx="5">
                  <c:v>379</c:v>
                </c:pt>
                <c:pt idx="6">
                  <c:v>385</c:v>
                </c:pt>
                <c:pt idx="7">
                  <c:v>472</c:v>
                </c:pt>
              </c:numCache>
            </c:numRef>
          </c:xVal>
          <c:yVal>
            <c:numRef>
              <c:f>data!$C$4:$C$11</c:f>
              <c:numCache>
                <c:formatCode>General</c:formatCode>
                <c:ptCount val="8"/>
                <c:pt idx="0">
                  <c:v>0</c:v>
                </c:pt>
                <c:pt idx="1">
                  <c:v>105</c:v>
                </c:pt>
                <c:pt idx="2">
                  <c:v>105</c:v>
                </c:pt>
                <c:pt idx="3">
                  <c:v>210</c:v>
                </c:pt>
                <c:pt idx="4">
                  <c:v>210</c:v>
                </c:pt>
                <c:pt idx="5">
                  <c:v>336</c:v>
                </c:pt>
                <c:pt idx="6">
                  <c:v>340.2</c:v>
                </c:pt>
                <c:pt idx="7">
                  <c:v>420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08-4C32-937B-4AD1DAC56526}"/>
            </c:ext>
          </c:extLst>
        </c:ser>
        <c:ser>
          <c:idx val="3"/>
          <c:order val="2"/>
          <c:tx>
            <c:v>16B(78)-32-Discharge Flowmeter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3333FF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20685492945575268"/>
                  <c:y val="-3.381791426765853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800" b="0" i="0" u="none" strike="noStrike" kern="1200" baseline="0">
                        <a:solidFill>
                          <a:srgbClr val="000000"/>
                        </a:solidFill>
                        <a:latin typeface="Candara" panose="020E0502030303020204" pitchFamily="34" charset="0"/>
                        <a:ea typeface="+mn-ea"/>
                        <a:cs typeface="+mn-cs"/>
                      </a:defRPr>
                    </a:pPr>
                    <a:r>
                      <a:rPr lang="en-US" baseline="0"/>
                      <a:t>16B discharge = 1.2819E-04x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+ 9.2096E-01x</a:t>
                    </a:r>
                    <a:br>
                      <a:rPr lang="en-US" baseline="0"/>
                    </a:br>
                    <a:r>
                      <a:rPr lang="en-US" baseline="0"/>
                      <a:t>R² = 9.9949E-01</a:t>
                    </a:r>
                    <a:endParaRPr lang="en-US"/>
                  </a:p>
                </c:rich>
              </c:tx>
              <c:numFmt formatCode="0.0000E+00" sourceLinked="0"/>
              <c:spPr>
                <a:solidFill>
                  <a:schemeClr val="bg1"/>
                </a:solidFill>
                <a:ln>
                  <a:solidFill>
                    <a:schemeClr val="bg2">
                      <a:lumMod val="50000"/>
                    </a:schemeClr>
                  </a:solidFill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rgbClr val="000000"/>
                      </a:solidFill>
                      <a:latin typeface="Candara" panose="020E0502030303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data!$G$4:$G$11</c:f>
              <c:numCache>
                <c:formatCode>General</c:formatCode>
                <c:ptCount val="8"/>
                <c:pt idx="0">
                  <c:v>0</c:v>
                </c:pt>
                <c:pt idx="1">
                  <c:v>111</c:v>
                </c:pt>
                <c:pt idx="2">
                  <c:v>120</c:v>
                </c:pt>
                <c:pt idx="3">
                  <c:v>220</c:v>
                </c:pt>
                <c:pt idx="4">
                  <c:v>220</c:v>
                </c:pt>
                <c:pt idx="5">
                  <c:v>346</c:v>
                </c:pt>
                <c:pt idx="6">
                  <c:v>350</c:v>
                </c:pt>
                <c:pt idx="7">
                  <c:v>433</c:v>
                </c:pt>
              </c:numCache>
            </c:numRef>
          </c:xVal>
          <c:yVal>
            <c:numRef>
              <c:f>data!$C$4:$C$11</c:f>
              <c:numCache>
                <c:formatCode>General</c:formatCode>
                <c:ptCount val="8"/>
                <c:pt idx="0">
                  <c:v>0</c:v>
                </c:pt>
                <c:pt idx="1">
                  <c:v>105</c:v>
                </c:pt>
                <c:pt idx="2">
                  <c:v>105</c:v>
                </c:pt>
                <c:pt idx="3">
                  <c:v>210</c:v>
                </c:pt>
                <c:pt idx="4">
                  <c:v>210</c:v>
                </c:pt>
                <c:pt idx="5">
                  <c:v>336</c:v>
                </c:pt>
                <c:pt idx="6">
                  <c:v>340.2</c:v>
                </c:pt>
                <c:pt idx="7">
                  <c:v>420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308-4C32-937B-4AD1DAC56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527160"/>
        <c:axId val="224527552"/>
      </c:scatterChart>
      <c:valAx>
        <c:axId val="224527160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rgbClr val="000000"/>
                    </a:solidFill>
                    <a:latin typeface="Candara" panose="020E0502030303020204" pitchFamily="34" charset="0"/>
                    <a:ea typeface="+mn-ea"/>
                    <a:cs typeface="+mn-cs"/>
                  </a:defRPr>
                </a:pPr>
                <a:r>
                  <a:rPr lang="en-US"/>
                  <a:t>Flow Meter Recorded 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rgbClr val="000000"/>
                  </a:solidFill>
                  <a:latin typeface="Candara" panose="020E0502030303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endParaRPr lang="en-US"/>
          </a:p>
        </c:txPr>
        <c:crossAx val="224527552"/>
        <c:crosses val="autoZero"/>
        <c:crossBetween val="midCat"/>
      </c:valAx>
      <c:valAx>
        <c:axId val="224527552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rgbClr val="000000"/>
                    </a:solidFill>
                    <a:latin typeface="Candara" panose="020E0502030303020204" pitchFamily="34" charset="0"/>
                    <a:ea typeface="+mn-ea"/>
                    <a:cs typeface="+mn-cs"/>
                  </a:defRPr>
                </a:pPr>
                <a:r>
                  <a:rPr lang="en-US"/>
                  <a:t>Flow Meter Corrected 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rgbClr val="000000"/>
                  </a:solidFill>
                  <a:latin typeface="Candara" panose="020E0502030303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00"/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endParaRPr lang="en-US"/>
          </a:p>
        </c:txPr>
        <c:crossAx val="224527160"/>
        <c:crosses val="autoZero"/>
        <c:crossBetween val="midCat"/>
        <c:minorUnit val="5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51926744520811607"/>
          <c:y val="0.64206429790271446"/>
          <c:w val="0.42950727855076876"/>
          <c:h val="0.1638124832120514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000000"/>
              </a:solidFill>
              <a:latin typeface="Candara" panose="020E0502030303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rgbClr val="000000"/>
          </a:solidFill>
          <a:latin typeface="Candara" panose="020E050203030302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Field Calibration of 3" Turbine Flow Meters (after finishing the LTCT)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865654021749287E-2"/>
          <c:y val="8.7474906545772682E-2"/>
          <c:w val="0.87962955158194933"/>
          <c:h val="0.71955014714069832"/>
        </c:manualLayout>
      </c:layout>
      <c:scatterChart>
        <c:scatterStyle val="lineMarker"/>
        <c:varyColors val="0"/>
        <c:ser>
          <c:idx val="0"/>
          <c:order val="0"/>
          <c:tx>
            <c:v>Factory Calibration</c:v>
          </c:tx>
          <c:spPr>
            <a:ln w="19050" cap="rnd">
              <a:noFill/>
              <a:round/>
            </a:ln>
            <a:effectLst/>
          </c:spPr>
          <c:marker>
            <c:symbol val="x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66223484152958034"/>
                  <c:y val="-6.3903463883872719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>
                        <a:solidFill>
                          <a:srgbClr val="C00000"/>
                        </a:solidFill>
                      </a:rPr>
                      <a:t>y = x</a:t>
                    </a:r>
                    <a:br>
                      <a:rPr lang="en-US" sz="1200" b="1" baseline="0">
                        <a:solidFill>
                          <a:srgbClr val="C00000"/>
                        </a:solidFill>
                      </a:rPr>
                    </a:br>
                    <a:r>
                      <a:rPr lang="en-US" sz="1200" b="1" baseline="0">
                        <a:solidFill>
                          <a:srgbClr val="C00000"/>
                        </a:solidFill>
                      </a:rPr>
                      <a:t>R² = 1</a:t>
                    </a:r>
                    <a:endParaRPr lang="en-US" sz="1200" b="1">
                      <a:solidFill>
                        <a:srgbClr val="C00000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bg2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data!$C$5:$C$11</c:f>
              <c:numCache>
                <c:formatCode>General</c:formatCode>
                <c:ptCount val="7"/>
                <c:pt idx="0">
                  <c:v>105</c:v>
                </c:pt>
                <c:pt idx="1">
                  <c:v>105</c:v>
                </c:pt>
                <c:pt idx="2">
                  <c:v>210</c:v>
                </c:pt>
                <c:pt idx="3">
                  <c:v>210</c:v>
                </c:pt>
                <c:pt idx="4">
                  <c:v>336</c:v>
                </c:pt>
                <c:pt idx="5">
                  <c:v>340.2</c:v>
                </c:pt>
                <c:pt idx="6">
                  <c:v>420</c:v>
                </c:pt>
              </c:numCache>
            </c:numRef>
          </c:xVal>
          <c:yVal>
            <c:numRef>
              <c:f>data!$D$5:$D$11</c:f>
              <c:numCache>
                <c:formatCode>General</c:formatCode>
                <c:ptCount val="7"/>
                <c:pt idx="0">
                  <c:v>105</c:v>
                </c:pt>
                <c:pt idx="1">
                  <c:v>105</c:v>
                </c:pt>
                <c:pt idx="2">
                  <c:v>210</c:v>
                </c:pt>
                <c:pt idx="3">
                  <c:v>210</c:v>
                </c:pt>
                <c:pt idx="4">
                  <c:v>336</c:v>
                </c:pt>
                <c:pt idx="5">
                  <c:v>340.2</c:v>
                </c:pt>
                <c:pt idx="6">
                  <c:v>420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76-4788-9F6C-F6D27929D7F1}"/>
            </c:ext>
          </c:extLst>
        </c:ser>
        <c:ser>
          <c:idx val="1"/>
          <c:order val="1"/>
          <c:tx>
            <c:v>SEP DIS FLOW 1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F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534718720617049"/>
                  <c:y val="0.1367229764327154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>
                        <a:solidFill>
                          <a:srgbClr val="00B0F0"/>
                        </a:solidFill>
                      </a:rPr>
                      <a:t>y = 1.0676x + 21.669</a:t>
                    </a:r>
                    <a:br>
                      <a:rPr lang="en-US" sz="1200" b="1" baseline="0">
                        <a:solidFill>
                          <a:srgbClr val="00B0F0"/>
                        </a:solidFill>
                      </a:rPr>
                    </a:br>
                    <a:r>
                      <a:rPr lang="en-US" sz="1200" b="1" baseline="0">
                        <a:solidFill>
                          <a:srgbClr val="00B0F0"/>
                        </a:solidFill>
                      </a:rPr>
                      <a:t>R² = 0.9985</a:t>
                    </a:r>
                    <a:endParaRPr lang="en-US" sz="1200" b="1">
                      <a:solidFill>
                        <a:srgbClr val="00B0F0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data!$C$5:$C$11</c:f>
              <c:numCache>
                <c:formatCode>General</c:formatCode>
                <c:ptCount val="7"/>
                <c:pt idx="0">
                  <c:v>105</c:v>
                </c:pt>
                <c:pt idx="1">
                  <c:v>105</c:v>
                </c:pt>
                <c:pt idx="2">
                  <c:v>210</c:v>
                </c:pt>
                <c:pt idx="3">
                  <c:v>210</c:v>
                </c:pt>
                <c:pt idx="4">
                  <c:v>336</c:v>
                </c:pt>
                <c:pt idx="5">
                  <c:v>340.2</c:v>
                </c:pt>
                <c:pt idx="6">
                  <c:v>420</c:v>
                </c:pt>
              </c:numCache>
            </c:numRef>
          </c:xVal>
          <c:yVal>
            <c:numRef>
              <c:f>data!$E$5:$E$11</c:f>
              <c:numCache>
                <c:formatCode>General</c:formatCode>
                <c:ptCount val="7"/>
                <c:pt idx="0">
                  <c:v>131.5</c:v>
                </c:pt>
                <c:pt idx="1">
                  <c:v>132</c:v>
                </c:pt>
                <c:pt idx="2">
                  <c:v>247</c:v>
                </c:pt>
                <c:pt idx="3">
                  <c:v>242</c:v>
                </c:pt>
                <c:pt idx="4">
                  <c:v>379</c:v>
                </c:pt>
                <c:pt idx="5">
                  <c:v>383</c:v>
                </c:pt>
                <c:pt idx="6">
                  <c:v>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76-4788-9F6C-F6D27929D7F1}"/>
            </c:ext>
          </c:extLst>
        </c:ser>
        <c:ser>
          <c:idx val="2"/>
          <c:order val="2"/>
          <c:tx>
            <c:v>SEP DIS FLOW 2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92D05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534718720617049"/>
                  <c:y val="0.2094265639699339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>
                        <a:solidFill>
                          <a:srgbClr val="92D050"/>
                        </a:solidFill>
                      </a:rPr>
                      <a:t>y = 1.0942x + 12.301</a:t>
                    </a:r>
                    <a:br>
                      <a:rPr lang="en-US" sz="1200" b="1" baseline="0">
                        <a:solidFill>
                          <a:srgbClr val="92D050"/>
                        </a:solidFill>
                      </a:rPr>
                    </a:br>
                    <a:r>
                      <a:rPr lang="en-US" sz="1200" b="1" baseline="0">
                        <a:solidFill>
                          <a:srgbClr val="92D050"/>
                        </a:solidFill>
                      </a:rPr>
                      <a:t>R² = 0.9995</a:t>
                    </a:r>
                    <a:endParaRPr lang="en-US" sz="1200" b="1">
                      <a:solidFill>
                        <a:srgbClr val="92D050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data!$C$5:$C$11</c:f>
              <c:numCache>
                <c:formatCode>General</c:formatCode>
                <c:ptCount val="7"/>
                <c:pt idx="0">
                  <c:v>105</c:v>
                </c:pt>
                <c:pt idx="1">
                  <c:v>105</c:v>
                </c:pt>
                <c:pt idx="2">
                  <c:v>210</c:v>
                </c:pt>
                <c:pt idx="3">
                  <c:v>210</c:v>
                </c:pt>
                <c:pt idx="4">
                  <c:v>336</c:v>
                </c:pt>
                <c:pt idx="5">
                  <c:v>340.2</c:v>
                </c:pt>
                <c:pt idx="6">
                  <c:v>420</c:v>
                </c:pt>
              </c:numCache>
            </c:numRef>
          </c:xVal>
          <c:yVal>
            <c:numRef>
              <c:f>data!$F$5:$F$11</c:f>
              <c:numCache>
                <c:formatCode>General</c:formatCode>
                <c:ptCount val="7"/>
                <c:pt idx="0">
                  <c:v>122</c:v>
                </c:pt>
                <c:pt idx="1">
                  <c:v>132</c:v>
                </c:pt>
                <c:pt idx="2">
                  <c:v>242</c:v>
                </c:pt>
                <c:pt idx="3">
                  <c:v>243</c:v>
                </c:pt>
                <c:pt idx="4">
                  <c:v>379</c:v>
                </c:pt>
                <c:pt idx="5">
                  <c:v>385</c:v>
                </c:pt>
                <c:pt idx="6">
                  <c:v>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76-4788-9F6C-F6D27929D7F1}"/>
            </c:ext>
          </c:extLst>
        </c:ser>
        <c:ser>
          <c:idx val="3"/>
          <c:order val="3"/>
          <c:tx>
            <c:v>16B-DIS FLOW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6279305045069772"/>
                  <c:y val="0.2258774203520431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>
                        <a:solidFill>
                          <a:srgbClr val="7030A0"/>
                        </a:solidFill>
                      </a:rPr>
                      <a:t>y = 1.004x + 9.5524</a:t>
                    </a:r>
                    <a:br>
                      <a:rPr lang="en-US" sz="1200" b="1" baseline="0">
                        <a:solidFill>
                          <a:srgbClr val="7030A0"/>
                        </a:solidFill>
                      </a:rPr>
                    </a:br>
                    <a:r>
                      <a:rPr lang="en-US" sz="1200" b="1" baseline="0">
                        <a:solidFill>
                          <a:srgbClr val="7030A0"/>
                        </a:solidFill>
                      </a:rPr>
                      <a:t>R² = 0.9995</a:t>
                    </a:r>
                    <a:endParaRPr lang="en-US" sz="1200" b="1">
                      <a:solidFill>
                        <a:srgbClr val="7030A0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data!$C$5:$C$11</c:f>
              <c:numCache>
                <c:formatCode>General</c:formatCode>
                <c:ptCount val="7"/>
                <c:pt idx="0">
                  <c:v>105</c:v>
                </c:pt>
                <c:pt idx="1">
                  <c:v>105</c:v>
                </c:pt>
                <c:pt idx="2">
                  <c:v>210</c:v>
                </c:pt>
                <c:pt idx="3">
                  <c:v>210</c:v>
                </c:pt>
                <c:pt idx="4">
                  <c:v>336</c:v>
                </c:pt>
                <c:pt idx="5">
                  <c:v>340.2</c:v>
                </c:pt>
                <c:pt idx="6">
                  <c:v>420</c:v>
                </c:pt>
              </c:numCache>
            </c:numRef>
          </c:xVal>
          <c:yVal>
            <c:numRef>
              <c:f>data!$G$5:$G$11</c:f>
              <c:numCache>
                <c:formatCode>General</c:formatCode>
                <c:ptCount val="7"/>
                <c:pt idx="0">
                  <c:v>111</c:v>
                </c:pt>
                <c:pt idx="1">
                  <c:v>120</c:v>
                </c:pt>
                <c:pt idx="2">
                  <c:v>220</c:v>
                </c:pt>
                <c:pt idx="3">
                  <c:v>220</c:v>
                </c:pt>
                <c:pt idx="4">
                  <c:v>346</c:v>
                </c:pt>
                <c:pt idx="5">
                  <c:v>350</c:v>
                </c:pt>
                <c:pt idx="6">
                  <c:v>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276-4788-9F6C-F6D27929D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527160"/>
        <c:axId val="224527552"/>
      </c:scatterChart>
      <c:valAx>
        <c:axId val="224527160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/>
                    </a:solidFill>
                  </a:rPr>
                  <a:t>Liberty Pump Rate 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27552"/>
        <c:crosses val="autoZero"/>
        <c:crossBetween val="midCat"/>
      </c:valAx>
      <c:valAx>
        <c:axId val="22452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/>
                    </a:solidFill>
                  </a:rPr>
                  <a:t>Flow Meter Output Rate 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52716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BD5CA6-1798-45EA-AA4E-CB687552642B}">
  <sheetPr/>
  <sheetViews>
    <sheetView tabSelected="1" zoomScale="8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3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14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3A6171-6299-C0AA-2209-BD725F19A69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0.64212</cdr:x>
      <cdr:y>0.19091</cdr:y>
    </cdr:from>
    <cdr:to>
      <cdr:x>0.80719</cdr:x>
      <cdr:y>0.27299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E01170E0-DBE9-904C-43AF-0EC8E0D8CC55}"/>
            </a:ext>
          </a:extLst>
        </cdr:cNvPr>
        <cdr:cNvCxnSpPr/>
      </cdr:nvCxnSpPr>
      <cdr:spPr>
        <a:xfrm xmlns:a="http://schemas.openxmlformats.org/drawingml/2006/main">
          <a:off x="5558118" y="1199029"/>
          <a:ext cx="1428750" cy="515471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0.4907</cdr:x>
      <cdr:y>0.47645</cdr:y>
    </cdr:from>
    <cdr:to>
      <cdr:x>0.56963</cdr:x>
      <cdr:y>0.51207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5090921D-C7CB-D1F1-F37D-DE9FC83C1AA4}"/>
            </a:ext>
          </a:extLst>
        </cdr:cNvPr>
        <cdr:cNvCxnSpPr/>
      </cdr:nvCxnSpPr>
      <cdr:spPr>
        <a:xfrm xmlns:a="http://schemas.openxmlformats.org/drawingml/2006/main">
          <a:off x="4247403" y="2992344"/>
          <a:ext cx="683185" cy="223744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0.49065</cdr:x>
      <cdr:y>0.32919</cdr:y>
    </cdr:from>
    <cdr:to>
      <cdr:x>0.67967</cdr:x>
      <cdr:y>0.42286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5090921D-C7CB-D1F1-F37D-DE9FC83C1AA4}"/>
            </a:ext>
          </a:extLst>
        </cdr:cNvPr>
        <cdr:cNvCxnSpPr/>
      </cdr:nvCxnSpPr>
      <cdr:spPr>
        <a:xfrm xmlns:a="http://schemas.openxmlformats.org/drawingml/2006/main">
          <a:off x="4247029" y="2067485"/>
          <a:ext cx="1636059" cy="588309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chemeClr val="tx1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0423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M7" sqref="M7"/>
    </sheetView>
  </sheetViews>
  <sheetFormatPr defaultRowHeight="14.25" x14ac:dyDescent="0.45"/>
  <cols>
    <col min="2" max="7" width="9.06640625" style="2"/>
  </cols>
  <sheetData>
    <row r="1" spans="1:7" x14ac:dyDescent="0.45">
      <c r="A1">
        <v>42</v>
      </c>
    </row>
    <row r="2" spans="1:7" ht="14.65" thickBot="1" x14ac:dyDescent="0.5"/>
    <row r="3" spans="1:7" s="1" customFormat="1" ht="57.4" thickBot="1" x14ac:dyDescent="0.5">
      <c r="B3" s="9" t="s">
        <v>0</v>
      </c>
      <c r="C3" s="10" t="s">
        <v>1</v>
      </c>
      <c r="D3" s="10" t="s">
        <v>1</v>
      </c>
      <c r="E3" s="9" t="s">
        <v>2</v>
      </c>
      <c r="F3" s="10" t="s">
        <v>3</v>
      </c>
      <c r="G3" s="11" t="s">
        <v>4</v>
      </c>
    </row>
    <row r="4" spans="1:7" x14ac:dyDescent="0.45">
      <c r="B4" s="3">
        <v>0</v>
      </c>
      <c r="C4" s="4">
        <v>0</v>
      </c>
      <c r="D4" s="4">
        <v>0</v>
      </c>
      <c r="E4" s="3">
        <v>0</v>
      </c>
      <c r="F4" s="4">
        <v>0</v>
      </c>
      <c r="G4" s="5">
        <v>0</v>
      </c>
    </row>
    <row r="5" spans="1:7" x14ac:dyDescent="0.45">
      <c r="B5" s="3">
        <v>2.5</v>
      </c>
      <c r="C5" s="4">
        <f t="shared" ref="C5:C11" si="0">B5*$A$1</f>
        <v>105</v>
      </c>
      <c r="D5" s="4">
        <v>105</v>
      </c>
      <c r="E5" s="3">
        <v>131.5</v>
      </c>
      <c r="F5" s="4">
        <v>122</v>
      </c>
      <c r="G5" s="5">
        <v>111</v>
      </c>
    </row>
    <row r="6" spans="1:7" x14ac:dyDescent="0.45">
      <c r="B6" s="3">
        <v>2.5</v>
      </c>
      <c r="C6" s="4">
        <f t="shared" si="0"/>
        <v>105</v>
      </c>
      <c r="D6" s="4">
        <v>105</v>
      </c>
      <c r="E6" s="3">
        <v>132</v>
      </c>
      <c r="F6" s="4">
        <v>132</v>
      </c>
      <c r="G6" s="5">
        <v>120</v>
      </c>
    </row>
    <row r="7" spans="1:7" x14ac:dyDescent="0.45">
      <c r="B7" s="3">
        <v>5</v>
      </c>
      <c r="C7" s="4">
        <f t="shared" si="0"/>
        <v>210</v>
      </c>
      <c r="D7" s="4">
        <v>210</v>
      </c>
      <c r="E7" s="3">
        <v>247</v>
      </c>
      <c r="F7" s="4">
        <v>242</v>
      </c>
      <c r="G7" s="5">
        <v>220</v>
      </c>
    </row>
    <row r="8" spans="1:7" x14ac:dyDescent="0.45">
      <c r="B8" s="3">
        <v>5</v>
      </c>
      <c r="C8" s="4">
        <f t="shared" si="0"/>
        <v>210</v>
      </c>
      <c r="D8" s="4">
        <v>210</v>
      </c>
      <c r="E8" s="3">
        <v>242</v>
      </c>
      <c r="F8" s="4">
        <v>243</v>
      </c>
      <c r="G8" s="5">
        <v>220</v>
      </c>
    </row>
    <row r="9" spans="1:7" x14ac:dyDescent="0.45">
      <c r="B9" s="3">
        <v>8</v>
      </c>
      <c r="C9" s="4">
        <f t="shared" si="0"/>
        <v>336</v>
      </c>
      <c r="D9" s="4">
        <v>336</v>
      </c>
      <c r="E9" s="3">
        <v>379</v>
      </c>
      <c r="F9" s="4">
        <v>379</v>
      </c>
      <c r="G9" s="5">
        <v>346</v>
      </c>
    </row>
    <row r="10" spans="1:7" x14ac:dyDescent="0.45">
      <c r="B10" s="3">
        <v>8.1</v>
      </c>
      <c r="C10" s="4">
        <f t="shared" si="0"/>
        <v>340.2</v>
      </c>
      <c r="D10" s="4">
        <v>340.2</v>
      </c>
      <c r="E10" s="3">
        <v>383</v>
      </c>
      <c r="F10" s="4">
        <v>385</v>
      </c>
      <c r="G10" s="5">
        <v>350</v>
      </c>
    </row>
    <row r="11" spans="1:7" ht="14.65" thickBot="1" x14ac:dyDescent="0.5">
      <c r="B11" s="6">
        <v>10</v>
      </c>
      <c r="C11" s="7">
        <f t="shared" si="0"/>
        <v>420</v>
      </c>
      <c r="D11" s="7">
        <v>420</v>
      </c>
      <c r="E11" s="6">
        <v>470</v>
      </c>
      <c r="F11" s="7">
        <v>472</v>
      </c>
      <c r="G11" s="8">
        <v>433</v>
      </c>
    </row>
  </sheetData>
  <sortState xmlns:xlrd2="http://schemas.microsoft.com/office/spreadsheetml/2017/richdata2" ref="B4:G11">
    <sortCondition ref="B4: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data</vt:lpstr>
      <vt:lpstr>Calibration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England</dc:creator>
  <cp:lastModifiedBy>John McLennan</cp:lastModifiedBy>
  <dcterms:created xsi:type="dcterms:W3CDTF">2024-09-06T02:06:10Z</dcterms:created>
  <dcterms:modified xsi:type="dcterms:W3CDTF">2024-10-07T23:55:57Z</dcterms:modified>
</cp:coreProperties>
</file>
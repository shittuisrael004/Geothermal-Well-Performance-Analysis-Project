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egi\OneDrive - University of Utah\Desktop\FORGE\Circulation Plan\Recorded Data\"/>
    </mc:Choice>
  </mc:AlternateContent>
  <xr:revisionPtr revIDLastSave="0" documentId="13_ncr:1_{C7E71497-913A-4B3F-B265-6A2813A8E2B8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Manual" sheetId="3" r:id="rId1"/>
    <sheet name="P and T" sheetId="4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1" l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6" i="1"/>
  <c r="I5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<sst xmlns="http://schemas.openxmlformats.org/spreadsheetml/2006/main" count="18" uniqueCount="16">
  <si>
    <t>Temp</t>
  </si>
  <si>
    <t>Pressure</t>
  </si>
  <si>
    <t>(psi)</t>
  </si>
  <si>
    <t>Date</t>
  </si>
  <si>
    <t>(m/d/yyyy)</t>
  </si>
  <si>
    <t>Time</t>
  </si>
  <si>
    <t>(hh:mm)</t>
  </si>
  <si>
    <r>
      <t>(</t>
    </r>
    <r>
      <rPr>
        <b/>
        <sz val="11"/>
        <color theme="1"/>
        <rFont val="Calibri"/>
        <family val="2"/>
      </rPr>
      <t>°F)</t>
    </r>
  </si>
  <si>
    <t>Date &amp; Time</t>
  </si>
  <si>
    <t>(m/d/yyyy hh:mm)</t>
  </si>
  <si>
    <t>(°F)</t>
  </si>
  <si>
    <t>WHP</t>
  </si>
  <si>
    <t>From Pason</t>
  </si>
  <si>
    <t>Manual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</si>
  <si>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T (°F)</t>
    </r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</si>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</sst>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m/d/yyyy\ h:mm\ AM/PM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8" fontId="0" fillId="0" borderId="0" xfId="0" applyNumberFormat="1"/>
    <xf numFmtId="165" fontId="0" fillId="0" borderId="0" xfId="0" applyNumberFormat="1"/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16B(78)-32 Flow Line Temperature &amp;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16B Flow Line Temperature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data!$D$5:$D$79</c:f>
              <c:numCache>
                <c:formatCode>m/d/yyyy\ h:mm\ AM/PM</c:formatCode>
                <c:ptCount val="75"/>
                <c:pt idx="0">
                  <c:v>45521.92083333333</c:v>
                </c:pt>
                <c:pt idx="1">
                  <c:v>45522.248611111114</c:v>
                </c:pt>
                <c:pt idx="2">
                  <c:v>45522.427083333336</c:v>
                </c:pt>
                <c:pt idx="3">
                  <c:v>45522.579861111109</c:v>
                </c:pt>
                <c:pt idx="4">
                  <c:v>45522.743750000001</c:v>
                </c:pt>
                <c:pt idx="5">
                  <c:v>45523.205555555556</c:v>
                </c:pt>
                <c:pt idx="6">
                  <c:v>45523.48333333333</c:v>
                </c:pt>
                <c:pt idx="7">
                  <c:v>45523.606944444444</c:v>
                </c:pt>
                <c:pt idx="8">
                  <c:v>45523.748611111114</c:v>
                </c:pt>
                <c:pt idx="9">
                  <c:v>45523.970138888886</c:v>
                </c:pt>
                <c:pt idx="10">
                  <c:v>45524.277777777781</c:v>
                </c:pt>
                <c:pt idx="11">
                  <c:v>45524.40625</c:v>
                </c:pt>
                <c:pt idx="12">
                  <c:v>45524.554861111108</c:v>
                </c:pt>
                <c:pt idx="13">
                  <c:v>45524.629166666666</c:v>
                </c:pt>
                <c:pt idx="14">
                  <c:v>45524.771527777775</c:v>
                </c:pt>
                <c:pt idx="15">
                  <c:v>45525.227777777778</c:v>
                </c:pt>
                <c:pt idx="16">
                  <c:v>45525.466666666667</c:v>
                </c:pt>
                <c:pt idx="17">
                  <c:v>45525.7</c:v>
                </c:pt>
                <c:pt idx="18">
                  <c:v>45526.204861111109</c:v>
                </c:pt>
                <c:pt idx="19">
                  <c:v>45526.431250000001</c:v>
                </c:pt>
                <c:pt idx="20">
                  <c:v>45526.546527777777</c:v>
                </c:pt>
                <c:pt idx="21">
                  <c:v>45526.709722222222</c:v>
                </c:pt>
                <c:pt idx="22">
                  <c:v>45526.856944444444</c:v>
                </c:pt>
                <c:pt idx="23">
                  <c:v>45527.20416666667</c:v>
                </c:pt>
                <c:pt idx="24">
                  <c:v>45527.44027777778</c:v>
                </c:pt>
                <c:pt idx="25">
                  <c:v>45527.593055555553</c:v>
                </c:pt>
                <c:pt idx="26">
                  <c:v>45527.725694444445</c:v>
                </c:pt>
                <c:pt idx="27">
                  <c:v>45527.842361111114</c:v>
                </c:pt>
                <c:pt idx="28">
                  <c:v>45528.203472222223</c:v>
                </c:pt>
                <c:pt idx="29">
                  <c:v>45528.428472222222</c:v>
                </c:pt>
                <c:pt idx="30">
                  <c:v>45528.590277777781</c:v>
                </c:pt>
                <c:pt idx="31">
                  <c:v>45528.826388888891</c:v>
                </c:pt>
                <c:pt idx="32">
                  <c:v>45529.208333333336</c:v>
                </c:pt>
                <c:pt idx="33">
                  <c:v>45529.43472222222</c:v>
                </c:pt>
                <c:pt idx="34">
                  <c:v>45529.563194444447</c:v>
                </c:pt>
                <c:pt idx="35">
                  <c:v>45530.210416666669</c:v>
                </c:pt>
                <c:pt idx="36">
                  <c:v>45530.379861111112</c:v>
                </c:pt>
                <c:pt idx="37">
                  <c:v>45530.489583333336</c:v>
                </c:pt>
                <c:pt idx="38">
                  <c:v>45530.75</c:v>
                </c:pt>
                <c:pt idx="39">
                  <c:v>45530.854166666664</c:v>
                </c:pt>
                <c:pt idx="40">
                  <c:v>45531.201388888891</c:v>
                </c:pt>
                <c:pt idx="41">
                  <c:v>45531.638194444444</c:v>
                </c:pt>
                <c:pt idx="42">
                  <c:v>45531.875</c:v>
                </c:pt>
                <c:pt idx="43">
                  <c:v>45532.214583333334</c:v>
                </c:pt>
                <c:pt idx="44">
                  <c:v>45532.370833333334</c:v>
                </c:pt>
                <c:pt idx="45">
                  <c:v>45532.52847222222</c:v>
                </c:pt>
                <c:pt idx="46">
                  <c:v>45532.709722222222</c:v>
                </c:pt>
                <c:pt idx="47">
                  <c:v>45532.865972222222</c:v>
                </c:pt>
                <c:pt idx="48">
                  <c:v>45533.196527777778</c:v>
                </c:pt>
                <c:pt idx="49">
                  <c:v>45533.534722222219</c:v>
                </c:pt>
                <c:pt idx="50">
                  <c:v>45533.793749999997</c:v>
                </c:pt>
                <c:pt idx="51">
                  <c:v>45534.197222222225</c:v>
                </c:pt>
                <c:pt idx="52">
                  <c:v>45534.457638888889</c:v>
                </c:pt>
                <c:pt idx="53">
                  <c:v>45534.629166666666</c:v>
                </c:pt>
                <c:pt idx="54">
                  <c:v>45534.738194444442</c:v>
                </c:pt>
                <c:pt idx="55">
                  <c:v>45535.215277777781</c:v>
                </c:pt>
                <c:pt idx="56">
                  <c:v>45535.394444444442</c:v>
                </c:pt>
                <c:pt idx="57">
                  <c:v>45535.565972222219</c:v>
                </c:pt>
                <c:pt idx="58">
                  <c:v>45535.707638888889</c:v>
                </c:pt>
                <c:pt idx="59">
                  <c:v>45535.801388888889</c:v>
                </c:pt>
                <c:pt idx="60">
                  <c:v>45536.216666666667</c:v>
                </c:pt>
                <c:pt idx="61">
                  <c:v>45536.359722222223</c:v>
                </c:pt>
                <c:pt idx="62">
                  <c:v>45536.436111111114</c:v>
                </c:pt>
                <c:pt idx="63">
                  <c:v>45536.51458333333</c:v>
                </c:pt>
                <c:pt idx="64">
                  <c:v>45536.628472222219</c:v>
                </c:pt>
                <c:pt idx="65">
                  <c:v>45536.8125</c:v>
                </c:pt>
                <c:pt idx="66">
                  <c:v>45537.210416666669</c:v>
                </c:pt>
                <c:pt idx="67">
                  <c:v>45537.338888888888</c:v>
                </c:pt>
                <c:pt idx="68">
                  <c:v>45537.515277777777</c:v>
                </c:pt>
                <c:pt idx="69">
                  <c:v>45537.588194444441</c:v>
                </c:pt>
                <c:pt idx="70">
                  <c:v>45537.670138888891</c:v>
                </c:pt>
                <c:pt idx="71">
                  <c:v>45537.793749999997</c:v>
                </c:pt>
                <c:pt idx="72">
                  <c:v>45538.215277777781</c:v>
                </c:pt>
                <c:pt idx="73">
                  <c:v>45538.712500000001</c:v>
                </c:pt>
                <c:pt idx="74">
                  <c:v>45538.831250000003</c:v>
                </c:pt>
              </c:numCache>
            </c:numRef>
          </c:xVal>
          <c:yVal>
            <c:numRef>
              <c:f>data!$E$5:$E$85</c:f>
              <c:numCache>
                <c:formatCode>General</c:formatCode>
                <c:ptCount val="81"/>
                <c:pt idx="0">
                  <c:v>369</c:v>
                </c:pt>
                <c:pt idx="1">
                  <c:v>369</c:v>
                </c:pt>
                <c:pt idx="2">
                  <c:v>372</c:v>
                </c:pt>
                <c:pt idx="3">
                  <c:v>367</c:v>
                </c:pt>
                <c:pt idx="4">
                  <c:v>364</c:v>
                </c:pt>
                <c:pt idx="5">
                  <c:v>366</c:v>
                </c:pt>
                <c:pt idx="6">
                  <c:v>372</c:v>
                </c:pt>
                <c:pt idx="7">
                  <c:v>371</c:v>
                </c:pt>
                <c:pt idx="8">
                  <c:v>371</c:v>
                </c:pt>
                <c:pt idx="9">
                  <c:v>366</c:v>
                </c:pt>
                <c:pt idx="10">
                  <c:v>364</c:v>
                </c:pt>
                <c:pt idx="11">
                  <c:v>368</c:v>
                </c:pt>
                <c:pt idx="12">
                  <c:v>375</c:v>
                </c:pt>
                <c:pt idx="13">
                  <c:v>372</c:v>
                </c:pt>
                <c:pt idx="14">
                  <c:v>368</c:v>
                </c:pt>
                <c:pt idx="15">
                  <c:v>366</c:v>
                </c:pt>
                <c:pt idx="16">
                  <c:v>368</c:v>
                </c:pt>
                <c:pt idx="17">
                  <c:v>378</c:v>
                </c:pt>
                <c:pt idx="18">
                  <c:v>369</c:v>
                </c:pt>
                <c:pt idx="19">
                  <c:v>366</c:v>
                </c:pt>
                <c:pt idx="20">
                  <c:v>368</c:v>
                </c:pt>
                <c:pt idx="21">
                  <c:v>370</c:v>
                </c:pt>
                <c:pt idx="22">
                  <c:v>370</c:v>
                </c:pt>
                <c:pt idx="23">
                  <c:v>367</c:v>
                </c:pt>
                <c:pt idx="24">
                  <c:v>368</c:v>
                </c:pt>
                <c:pt idx="25">
                  <c:v>365</c:v>
                </c:pt>
                <c:pt idx="26">
                  <c:v>374</c:v>
                </c:pt>
                <c:pt idx="27">
                  <c:v>370</c:v>
                </c:pt>
                <c:pt idx="28">
                  <c:v>369</c:v>
                </c:pt>
                <c:pt idx="29">
                  <c:v>369</c:v>
                </c:pt>
                <c:pt idx="30">
                  <c:v>365</c:v>
                </c:pt>
                <c:pt idx="31">
                  <c:v>370</c:v>
                </c:pt>
                <c:pt idx="32">
                  <c:v>364</c:v>
                </c:pt>
                <c:pt idx="33">
                  <c:v>370</c:v>
                </c:pt>
                <c:pt idx="34">
                  <c:v>370</c:v>
                </c:pt>
                <c:pt idx="35">
                  <c:v>370</c:v>
                </c:pt>
                <c:pt idx="36">
                  <c:v>374</c:v>
                </c:pt>
                <c:pt idx="37">
                  <c:v>372</c:v>
                </c:pt>
                <c:pt idx="38">
                  <c:v>369</c:v>
                </c:pt>
                <c:pt idx="39">
                  <c:v>363</c:v>
                </c:pt>
                <c:pt idx="40">
                  <c:v>369</c:v>
                </c:pt>
                <c:pt idx="41">
                  <c:v>375</c:v>
                </c:pt>
                <c:pt idx="42">
                  <c:v>365</c:v>
                </c:pt>
                <c:pt idx="43">
                  <c:v>369</c:v>
                </c:pt>
                <c:pt idx="44">
                  <c:v>370</c:v>
                </c:pt>
                <c:pt idx="45">
                  <c:v>375</c:v>
                </c:pt>
                <c:pt idx="46">
                  <c:v>378</c:v>
                </c:pt>
                <c:pt idx="47">
                  <c:v>370</c:v>
                </c:pt>
                <c:pt idx="48">
                  <c:v>372</c:v>
                </c:pt>
                <c:pt idx="49">
                  <c:v>368</c:v>
                </c:pt>
                <c:pt idx="50">
                  <c:v>371</c:v>
                </c:pt>
                <c:pt idx="51">
                  <c:v>377</c:v>
                </c:pt>
                <c:pt idx="52">
                  <c:v>379</c:v>
                </c:pt>
                <c:pt idx="53">
                  <c:v>376</c:v>
                </c:pt>
                <c:pt idx="54">
                  <c:v>377</c:v>
                </c:pt>
                <c:pt idx="55">
                  <c:v>371</c:v>
                </c:pt>
                <c:pt idx="56">
                  <c:v>372</c:v>
                </c:pt>
                <c:pt idx="57">
                  <c:v>380</c:v>
                </c:pt>
                <c:pt idx="58">
                  <c:v>378</c:v>
                </c:pt>
                <c:pt idx="59">
                  <c:v>372</c:v>
                </c:pt>
                <c:pt idx="60">
                  <c:v>365</c:v>
                </c:pt>
                <c:pt idx="61">
                  <c:v>375</c:v>
                </c:pt>
                <c:pt idx="62">
                  <c:v>375</c:v>
                </c:pt>
                <c:pt idx="63">
                  <c:v>379</c:v>
                </c:pt>
                <c:pt idx="64">
                  <c:v>372</c:v>
                </c:pt>
                <c:pt idx="65">
                  <c:v>382</c:v>
                </c:pt>
                <c:pt idx="66">
                  <c:v>374</c:v>
                </c:pt>
                <c:pt idx="67">
                  <c:v>377</c:v>
                </c:pt>
                <c:pt idx="68">
                  <c:v>379</c:v>
                </c:pt>
                <c:pt idx="69">
                  <c:v>376</c:v>
                </c:pt>
                <c:pt idx="70">
                  <c:v>372</c:v>
                </c:pt>
                <c:pt idx="71">
                  <c:v>374</c:v>
                </c:pt>
                <c:pt idx="72">
                  <c:v>376</c:v>
                </c:pt>
                <c:pt idx="73">
                  <c:v>385</c:v>
                </c:pt>
                <c:pt idx="74">
                  <c:v>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4D-4688-8CB5-BD96EF07B37B}"/>
            </c:ext>
          </c:extLst>
        </c:ser>
        <c:ser>
          <c:idx val="1"/>
          <c:order val="1"/>
          <c:tx>
            <c:v>16B Flow Line Pressure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data!$D$5:$D$79</c:f>
              <c:numCache>
                <c:formatCode>m/d/yyyy\ h:mm\ AM/PM</c:formatCode>
                <c:ptCount val="75"/>
                <c:pt idx="0">
                  <c:v>45521.92083333333</c:v>
                </c:pt>
                <c:pt idx="1">
                  <c:v>45522.248611111114</c:v>
                </c:pt>
                <c:pt idx="2">
                  <c:v>45522.427083333336</c:v>
                </c:pt>
                <c:pt idx="3">
                  <c:v>45522.579861111109</c:v>
                </c:pt>
                <c:pt idx="4">
                  <c:v>45522.743750000001</c:v>
                </c:pt>
                <c:pt idx="5">
                  <c:v>45523.205555555556</c:v>
                </c:pt>
                <c:pt idx="6">
                  <c:v>45523.48333333333</c:v>
                </c:pt>
                <c:pt idx="7">
                  <c:v>45523.606944444444</c:v>
                </c:pt>
                <c:pt idx="8">
                  <c:v>45523.748611111114</c:v>
                </c:pt>
                <c:pt idx="9">
                  <c:v>45523.970138888886</c:v>
                </c:pt>
                <c:pt idx="10">
                  <c:v>45524.277777777781</c:v>
                </c:pt>
                <c:pt idx="11">
                  <c:v>45524.40625</c:v>
                </c:pt>
                <c:pt idx="12">
                  <c:v>45524.554861111108</c:v>
                </c:pt>
                <c:pt idx="13">
                  <c:v>45524.629166666666</c:v>
                </c:pt>
                <c:pt idx="14">
                  <c:v>45524.771527777775</c:v>
                </c:pt>
                <c:pt idx="15">
                  <c:v>45525.227777777778</c:v>
                </c:pt>
                <c:pt idx="16">
                  <c:v>45525.466666666667</c:v>
                </c:pt>
                <c:pt idx="17">
                  <c:v>45525.7</c:v>
                </c:pt>
                <c:pt idx="18">
                  <c:v>45526.204861111109</c:v>
                </c:pt>
                <c:pt idx="19">
                  <c:v>45526.431250000001</c:v>
                </c:pt>
                <c:pt idx="20">
                  <c:v>45526.546527777777</c:v>
                </c:pt>
                <c:pt idx="21">
                  <c:v>45526.709722222222</c:v>
                </c:pt>
                <c:pt idx="22">
                  <c:v>45526.856944444444</c:v>
                </c:pt>
                <c:pt idx="23">
                  <c:v>45527.20416666667</c:v>
                </c:pt>
                <c:pt idx="24">
                  <c:v>45527.44027777778</c:v>
                </c:pt>
                <c:pt idx="25">
                  <c:v>45527.593055555553</c:v>
                </c:pt>
                <c:pt idx="26">
                  <c:v>45527.725694444445</c:v>
                </c:pt>
                <c:pt idx="27">
                  <c:v>45527.842361111114</c:v>
                </c:pt>
                <c:pt idx="28">
                  <c:v>45528.203472222223</c:v>
                </c:pt>
                <c:pt idx="29">
                  <c:v>45528.428472222222</c:v>
                </c:pt>
                <c:pt idx="30">
                  <c:v>45528.590277777781</c:v>
                </c:pt>
                <c:pt idx="31">
                  <c:v>45528.826388888891</c:v>
                </c:pt>
                <c:pt idx="32">
                  <c:v>45529.208333333336</c:v>
                </c:pt>
                <c:pt idx="33">
                  <c:v>45529.43472222222</c:v>
                </c:pt>
                <c:pt idx="34">
                  <c:v>45529.563194444447</c:v>
                </c:pt>
                <c:pt idx="35">
                  <c:v>45530.210416666669</c:v>
                </c:pt>
                <c:pt idx="36">
                  <c:v>45530.379861111112</c:v>
                </c:pt>
                <c:pt idx="37">
                  <c:v>45530.489583333336</c:v>
                </c:pt>
                <c:pt idx="38">
                  <c:v>45530.75</c:v>
                </c:pt>
                <c:pt idx="39">
                  <c:v>45530.854166666664</c:v>
                </c:pt>
                <c:pt idx="40">
                  <c:v>45531.201388888891</c:v>
                </c:pt>
                <c:pt idx="41">
                  <c:v>45531.638194444444</c:v>
                </c:pt>
                <c:pt idx="42">
                  <c:v>45531.875</c:v>
                </c:pt>
                <c:pt idx="43">
                  <c:v>45532.214583333334</c:v>
                </c:pt>
                <c:pt idx="44">
                  <c:v>45532.370833333334</c:v>
                </c:pt>
                <c:pt idx="45">
                  <c:v>45532.52847222222</c:v>
                </c:pt>
                <c:pt idx="46">
                  <c:v>45532.709722222222</c:v>
                </c:pt>
                <c:pt idx="47">
                  <c:v>45532.865972222222</c:v>
                </c:pt>
                <c:pt idx="48">
                  <c:v>45533.196527777778</c:v>
                </c:pt>
                <c:pt idx="49">
                  <c:v>45533.534722222219</c:v>
                </c:pt>
                <c:pt idx="50">
                  <c:v>45533.793749999997</c:v>
                </c:pt>
                <c:pt idx="51">
                  <c:v>45534.197222222225</c:v>
                </c:pt>
                <c:pt idx="52">
                  <c:v>45534.457638888889</c:v>
                </c:pt>
                <c:pt idx="53">
                  <c:v>45534.629166666666</c:v>
                </c:pt>
                <c:pt idx="54">
                  <c:v>45534.738194444442</c:v>
                </c:pt>
                <c:pt idx="55">
                  <c:v>45535.215277777781</c:v>
                </c:pt>
                <c:pt idx="56">
                  <c:v>45535.394444444442</c:v>
                </c:pt>
                <c:pt idx="57">
                  <c:v>45535.565972222219</c:v>
                </c:pt>
                <c:pt idx="58">
                  <c:v>45535.707638888889</c:v>
                </c:pt>
                <c:pt idx="59">
                  <c:v>45535.801388888889</c:v>
                </c:pt>
                <c:pt idx="60">
                  <c:v>45536.216666666667</c:v>
                </c:pt>
                <c:pt idx="61">
                  <c:v>45536.359722222223</c:v>
                </c:pt>
                <c:pt idx="62">
                  <c:v>45536.436111111114</c:v>
                </c:pt>
                <c:pt idx="63">
                  <c:v>45536.51458333333</c:v>
                </c:pt>
                <c:pt idx="64">
                  <c:v>45536.628472222219</c:v>
                </c:pt>
                <c:pt idx="65">
                  <c:v>45536.8125</c:v>
                </c:pt>
                <c:pt idx="66">
                  <c:v>45537.210416666669</c:v>
                </c:pt>
                <c:pt idx="67">
                  <c:v>45537.338888888888</c:v>
                </c:pt>
                <c:pt idx="68">
                  <c:v>45537.515277777777</c:v>
                </c:pt>
                <c:pt idx="69">
                  <c:v>45537.588194444441</c:v>
                </c:pt>
                <c:pt idx="70">
                  <c:v>45537.670138888891</c:v>
                </c:pt>
                <c:pt idx="71">
                  <c:v>45537.793749999997</c:v>
                </c:pt>
                <c:pt idx="72">
                  <c:v>45538.215277777781</c:v>
                </c:pt>
                <c:pt idx="73">
                  <c:v>45538.712500000001</c:v>
                </c:pt>
                <c:pt idx="74">
                  <c:v>45538.831250000003</c:v>
                </c:pt>
              </c:numCache>
            </c:numRef>
          </c:xVal>
          <c:yVal>
            <c:numRef>
              <c:f>data!$F$5:$F$85</c:f>
              <c:numCache>
                <c:formatCode>General</c:formatCode>
                <c:ptCount val="81"/>
                <c:pt idx="0">
                  <c:v>195</c:v>
                </c:pt>
                <c:pt idx="1">
                  <c:v>195</c:v>
                </c:pt>
                <c:pt idx="2">
                  <c:v>185</c:v>
                </c:pt>
                <c:pt idx="3">
                  <c:v>180</c:v>
                </c:pt>
                <c:pt idx="4">
                  <c:v>185</c:v>
                </c:pt>
                <c:pt idx="5">
                  <c:v>190</c:v>
                </c:pt>
                <c:pt idx="6">
                  <c:v>195</c:v>
                </c:pt>
                <c:pt idx="7">
                  <c:v>190</c:v>
                </c:pt>
                <c:pt idx="8">
                  <c:v>195</c:v>
                </c:pt>
                <c:pt idx="9">
                  <c:v>195</c:v>
                </c:pt>
                <c:pt idx="10">
                  <c:v>195</c:v>
                </c:pt>
                <c:pt idx="11">
                  <c:v>200</c:v>
                </c:pt>
                <c:pt idx="12">
                  <c:v>195</c:v>
                </c:pt>
                <c:pt idx="13">
                  <c:v>195</c:v>
                </c:pt>
                <c:pt idx="14">
                  <c:v>195</c:v>
                </c:pt>
                <c:pt idx="15">
                  <c:v>195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210</c:v>
                </c:pt>
                <c:pt idx="26">
                  <c:v>200</c:v>
                </c:pt>
                <c:pt idx="27">
                  <c:v>200</c:v>
                </c:pt>
                <c:pt idx="28">
                  <c:v>210</c:v>
                </c:pt>
                <c:pt idx="29">
                  <c:v>210</c:v>
                </c:pt>
                <c:pt idx="30">
                  <c:v>210</c:v>
                </c:pt>
                <c:pt idx="31">
                  <c:v>210</c:v>
                </c:pt>
                <c:pt idx="32">
                  <c:v>210</c:v>
                </c:pt>
                <c:pt idx="33">
                  <c:v>210</c:v>
                </c:pt>
                <c:pt idx="34">
                  <c:v>210</c:v>
                </c:pt>
                <c:pt idx="35">
                  <c:v>210</c:v>
                </c:pt>
                <c:pt idx="36">
                  <c:v>210</c:v>
                </c:pt>
                <c:pt idx="37">
                  <c:v>210</c:v>
                </c:pt>
                <c:pt idx="38">
                  <c:v>210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195</c:v>
                </c:pt>
                <c:pt idx="43">
                  <c:v>200</c:v>
                </c:pt>
                <c:pt idx="44">
                  <c:v>200</c:v>
                </c:pt>
                <c:pt idx="45">
                  <c:v>205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195</c:v>
                </c:pt>
                <c:pt idx="50">
                  <c:v>195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4D-4688-8CB5-BD96EF07B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078456"/>
        <c:axId val="219078848"/>
      </c:scatterChart>
      <c:valAx>
        <c:axId val="219078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m/d/yyyy\ 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78848"/>
        <c:crosses val="autoZero"/>
        <c:crossBetween val="midCat"/>
        <c:majorUnit val="3"/>
        <c:minorUnit val="1"/>
      </c:valAx>
      <c:valAx>
        <c:axId val="2190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Temperature (degF) &amp; Pressure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7845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b="1"/>
              <a:t>Pason 16B Flow Line P&amp;T Measurement vs </a:t>
            </a:r>
            <a:br>
              <a:rPr lang="en-US" b="1"/>
            </a:br>
            <a:r>
              <a:rPr lang="en-US" b="1"/>
              <a:t>Manual P&amp;T Measurement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61997933072334"/>
          <c:y val="0.17137442085656338"/>
          <c:w val="0.73399202169153854"/>
          <c:h val="0.72449489303500203"/>
        </c:manualLayout>
      </c:layout>
      <c:scatterChart>
        <c:scatterStyle val="lineMarker"/>
        <c:varyColors val="0"/>
        <c:ser>
          <c:idx val="0"/>
          <c:order val="0"/>
          <c:tx>
            <c:v>16B Manual Flow Line Temp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580604231623852"/>
                  <c:y val="-6.921013706891955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0" i="0" u="none" strike="noStrike" kern="1200" baseline="0">
                        <a:solidFill>
                          <a:schemeClr val="tx1"/>
                        </a:solidFill>
                        <a:latin typeface="Candara" panose="020E0502030303020204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y = 0.5712x - 25636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tx1">
                      <a:lumMod val="75000"/>
                      <a:lumOff val="2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Candara" panose="020E0502030303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data!$D$5:$D$79</c:f>
              <c:numCache>
                <c:formatCode>m/d/yyyy\ h:mm\ AM/PM</c:formatCode>
                <c:ptCount val="75"/>
                <c:pt idx="0">
                  <c:v>45521.92083333333</c:v>
                </c:pt>
                <c:pt idx="1">
                  <c:v>45522.248611111114</c:v>
                </c:pt>
                <c:pt idx="2">
                  <c:v>45522.427083333336</c:v>
                </c:pt>
                <c:pt idx="3">
                  <c:v>45522.579861111109</c:v>
                </c:pt>
                <c:pt idx="4">
                  <c:v>45522.743750000001</c:v>
                </c:pt>
                <c:pt idx="5">
                  <c:v>45523.205555555556</c:v>
                </c:pt>
                <c:pt idx="6">
                  <c:v>45523.48333333333</c:v>
                </c:pt>
                <c:pt idx="7">
                  <c:v>45523.606944444444</c:v>
                </c:pt>
                <c:pt idx="8">
                  <c:v>45523.748611111114</c:v>
                </c:pt>
                <c:pt idx="9">
                  <c:v>45523.970138888886</c:v>
                </c:pt>
                <c:pt idx="10">
                  <c:v>45524.277777777781</c:v>
                </c:pt>
                <c:pt idx="11">
                  <c:v>45524.40625</c:v>
                </c:pt>
                <c:pt idx="12">
                  <c:v>45524.554861111108</c:v>
                </c:pt>
                <c:pt idx="13">
                  <c:v>45524.629166666666</c:v>
                </c:pt>
                <c:pt idx="14">
                  <c:v>45524.771527777775</c:v>
                </c:pt>
                <c:pt idx="15">
                  <c:v>45525.227777777778</c:v>
                </c:pt>
                <c:pt idx="16">
                  <c:v>45525.466666666667</c:v>
                </c:pt>
                <c:pt idx="17">
                  <c:v>45525.7</c:v>
                </c:pt>
                <c:pt idx="18">
                  <c:v>45526.204861111109</c:v>
                </c:pt>
                <c:pt idx="19">
                  <c:v>45526.431250000001</c:v>
                </c:pt>
                <c:pt idx="20">
                  <c:v>45526.546527777777</c:v>
                </c:pt>
                <c:pt idx="21">
                  <c:v>45526.709722222222</c:v>
                </c:pt>
                <c:pt idx="22">
                  <c:v>45526.856944444444</c:v>
                </c:pt>
                <c:pt idx="23">
                  <c:v>45527.20416666667</c:v>
                </c:pt>
                <c:pt idx="24">
                  <c:v>45527.44027777778</c:v>
                </c:pt>
                <c:pt idx="25">
                  <c:v>45527.593055555553</c:v>
                </c:pt>
                <c:pt idx="26">
                  <c:v>45527.725694444445</c:v>
                </c:pt>
                <c:pt idx="27">
                  <c:v>45527.842361111114</c:v>
                </c:pt>
                <c:pt idx="28">
                  <c:v>45528.203472222223</c:v>
                </c:pt>
                <c:pt idx="29">
                  <c:v>45528.428472222222</c:v>
                </c:pt>
                <c:pt idx="30">
                  <c:v>45528.590277777781</c:v>
                </c:pt>
                <c:pt idx="31">
                  <c:v>45528.826388888891</c:v>
                </c:pt>
                <c:pt idx="32">
                  <c:v>45529.208333333336</c:v>
                </c:pt>
                <c:pt idx="33">
                  <c:v>45529.43472222222</c:v>
                </c:pt>
                <c:pt idx="34">
                  <c:v>45529.563194444447</c:v>
                </c:pt>
                <c:pt idx="35">
                  <c:v>45530.210416666669</c:v>
                </c:pt>
                <c:pt idx="36">
                  <c:v>45530.379861111112</c:v>
                </c:pt>
                <c:pt idx="37">
                  <c:v>45530.489583333336</c:v>
                </c:pt>
                <c:pt idx="38">
                  <c:v>45530.75</c:v>
                </c:pt>
                <c:pt idx="39">
                  <c:v>45530.854166666664</c:v>
                </c:pt>
                <c:pt idx="40">
                  <c:v>45531.201388888891</c:v>
                </c:pt>
                <c:pt idx="41">
                  <c:v>45531.638194444444</c:v>
                </c:pt>
                <c:pt idx="42">
                  <c:v>45531.875</c:v>
                </c:pt>
                <c:pt idx="43">
                  <c:v>45532.214583333334</c:v>
                </c:pt>
                <c:pt idx="44">
                  <c:v>45532.370833333334</c:v>
                </c:pt>
                <c:pt idx="45">
                  <c:v>45532.52847222222</c:v>
                </c:pt>
                <c:pt idx="46">
                  <c:v>45532.709722222222</c:v>
                </c:pt>
                <c:pt idx="47">
                  <c:v>45532.865972222222</c:v>
                </c:pt>
                <c:pt idx="48">
                  <c:v>45533.196527777778</c:v>
                </c:pt>
                <c:pt idx="49">
                  <c:v>45533.534722222219</c:v>
                </c:pt>
                <c:pt idx="50">
                  <c:v>45533.793749999997</c:v>
                </c:pt>
                <c:pt idx="51">
                  <c:v>45534.197222222225</c:v>
                </c:pt>
                <c:pt idx="52">
                  <c:v>45534.457638888889</c:v>
                </c:pt>
                <c:pt idx="53">
                  <c:v>45534.629166666666</c:v>
                </c:pt>
                <c:pt idx="54">
                  <c:v>45534.738194444442</c:v>
                </c:pt>
                <c:pt idx="55">
                  <c:v>45535.215277777781</c:v>
                </c:pt>
                <c:pt idx="56">
                  <c:v>45535.394444444442</c:v>
                </c:pt>
                <c:pt idx="57">
                  <c:v>45535.565972222219</c:v>
                </c:pt>
                <c:pt idx="58">
                  <c:v>45535.707638888889</c:v>
                </c:pt>
                <c:pt idx="59">
                  <c:v>45535.801388888889</c:v>
                </c:pt>
                <c:pt idx="60">
                  <c:v>45536.216666666667</c:v>
                </c:pt>
                <c:pt idx="61">
                  <c:v>45536.359722222223</c:v>
                </c:pt>
                <c:pt idx="62">
                  <c:v>45536.436111111114</c:v>
                </c:pt>
                <c:pt idx="63">
                  <c:v>45536.51458333333</c:v>
                </c:pt>
                <c:pt idx="64">
                  <c:v>45536.628472222219</c:v>
                </c:pt>
                <c:pt idx="65">
                  <c:v>45536.8125</c:v>
                </c:pt>
                <c:pt idx="66">
                  <c:v>45537.210416666669</c:v>
                </c:pt>
                <c:pt idx="67">
                  <c:v>45537.338888888888</c:v>
                </c:pt>
                <c:pt idx="68">
                  <c:v>45537.515277777777</c:v>
                </c:pt>
                <c:pt idx="69">
                  <c:v>45537.588194444441</c:v>
                </c:pt>
                <c:pt idx="70">
                  <c:v>45537.670138888891</c:v>
                </c:pt>
                <c:pt idx="71">
                  <c:v>45537.793749999997</c:v>
                </c:pt>
                <c:pt idx="72">
                  <c:v>45538.215277777781</c:v>
                </c:pt>
                <c:pt idx="73">
                  <c:v>45538.712500000001</c:v>
                </c:pt>
                <c:pt idx="74">
                  <c:v>45538.831250000003</c:v>
                </c:pt>
              </c:numCache>
            </c:numRef>
          </c:xVal>
          <c:yVal>
            <c:numRef>
              <c:f>data!$E$5:$E$79</c:f>
              <c:numCache>
                <c:formatCode>General</c:formatCode>
                <c:ptCount val="75"/>
                <c:pt idx="0">
                  <c:v>369</c:v>
                </c:pt>
                <c:pt idx="1">
                  <c:v>369</c:v>
                </c:pt>
                <c:pt idx="2">
                  <c:v>372</c:v>
                </c:pt>
                <c:pt idx="3">
                  <c:v>367</c:v>
                </c:pt>
                <c:pt idx="4">
                  <c:v>364</c:v>
                </c:pt>
                <c:pt idx="5">
                  <c:v>366</c:v>
                </c:pt>
                <c:pt idx="6">
                  <c:v>372</c:v>
                </c:pt>
                <c:pt idx="7">
                  <c:v>371</c:v>
                </c:pt>
                <c:pt idx="8">
                  <c:v>371</c:v>
                </c:pt>
                <c:pt idx="9">
                  <c:v>366</c:v>
                </c:pt>
                <c:pt idx="10">
                  <c:v>364</c:v>
                </c:pt>
                <c:pt idx="11">
                  <c:v>368</c:v>
                </c:pt>
                <c:pt idx="12">
                  <c:v>375</c:v>
                </c:pt>
                <c:pt idx="13">
                  <c:v>372</c:v>
                </c:pt>
                <c:pt idx="14">
                  <c:v>368</c:v>
                </c:pt>
                <c:pt idx="15">
                  <c:v>366</c:v>
                </c:pt>
                <c:pt idx="16">
                  <c:v>368</c:v>
                </c:pt>
                <c:pt idx="17">
                  <c:v>378</c:v>
                </c:pt>
                <c:pt idx="18">
                  <c:v>369</c:v>
                </c:pt>
                <c:pt idx="19">
                  <c:v>366</c:v>
                </c:pt>
                <c:pt idx="20">
                  <c:v>368</c:v>
                </c:pt>
                <c:pt idx="21">
                  <c:v>370</c:v>
                </c:pt>
                <c:pt idx="22">
                  <c:v>370</c:v>
                </c:pt>
                <c:pt idx="23">
                  <c:v>367</c:v>
                </c:pt>
                <c:pt idx="24">
                  <c:v>368</c:v>
                </c:pt>
                <c:pt idx="25">
                  <c:v>365</c:v>
                </c:pt>
                <c:pt idx="26">
                  <c:v>374</c:v>
                </c:pt>
                <c:pt idx="27">
                  <c:v>370</c:v>
                </c:pt>
                <c:pt idx="28">
                  <c:v>369</c:v>
                </c:pt>
                <c:pt idx="29">
                  <c:v>369</c:v>
                </c:pt>
                <c:pt idx="30">
                  <c:v>365</c:v>
                </c:pt>
                <c:pt idx="31">
                  <c:v>370</c:v>
                </c:pt>
                <c:pt idx="32">
                  <c:v>364</c:v>
                </c:pt>
                <c:pt idx="33">
                  <c:v>370</c:v>
                </c:pt>
                <c:pt idx="34">
                  <c:v>370</c:v>
                </c:pt>
                <c:pt idx="35">
                  <c:v>370</c:v>
                </c:pt>
                <c:pt idx="36">
                  <c:v>374</c:v>
                </c:pt>
                <c:pt idx="37">
                  <c:v>372</c:v>
                </c:pt>
                <c:pt idx="38">
                  <c:v>369</c:v>
                </c:pt>
                <c:pt idx="39">
                  <c:v>363</c:v>
                </c:pt>
                <c:pt idx="40">
                  <c:v>369</c:v>
                </c:pt>
                <c:pt idx="41">
                  <c:v>375</c:v>
                </c:pt>
                <c:pt idx="42">
                  <c:v>365</c:v>
                </c:pt>
                <c:pt idx="43">
                  <c:v>369</c:v>
                </c:pt>
                <c:pt idx="44">
                  <c:v>370</c:v>
                </c:pt>
                <c:pt idx="45">
                  <c:v>375</c:v>
                </c:pt>
                <c:pt idx="46">
                  <c:v>378</c:v>
                </c:pt>
                <c:pt idx="47">
                  <c:v>370</c:v>
                </c:pt>
                <c:pt idx="48">
                  <c:v>372</c:v>
                </c:pt>
                <c:pt idx="49">
                  <c:v>368</c:v>
                </c:pt>
                <c:pt idx="50">
                  <c:v>371</c:v>
                </c:pt>
                <c:pt idx="51">
                  <c:v>377</c:v>
                </c:pt>
                <c:pt idx="52">
                  <c:v>379</c:v>
                </c:pt>
                <c:pt idx="53">
                  <c:v>376</c:v>
                </c:pt>
                <c:pt idx="54">
                  <c:v>377</c:v>
                </c:pt>
                <c:pt idx="55">
                  <c:v>371</c:v>
                </c:pt>
                <c:pt idx="56">
                  <c:v>372</c:v>
                </c:pt>
                <c:pt idx="57">
                  <c:v>380</c:v>
                </c:pt>
                <c:pt idx="58">
                  <c:v>378</c:v>
                </c:pt>
                <c:pt idx="59">
                  <c:v>372</c:v>
                </c:pt>
                <c:pt idx="60">
                  <c:v>365</c:v>
                </c:pt>
                <c:pt idx="61">
                  <c:v>375</c:v>
                </c:pt>
                <c:pt idx="62">
                  <c:v>375</c:v>
                </c:pt>
                <c:pt idx="63">
                  <c:v>379</c:v>
                </c:pt>
                <c:pt idx="64">
                  <c:v>372</c:v>
                </c:pt>
                <c:pt idx="65">
                  <c:v>382</c:v>
                </c:pt>
                <c:pt idx="66">
                  <c:v>374</c:v>
                </c:pt>
                <c:pt idx="67">
                  <c:v>377</c:v>
                </c:pt>
                <c:pt idx="68">
                  <c:v>379</c:v>
                </c:pt>
                <c:pt idx="69">
                  <c:v>376</c:v>
                </c:pt>
                <c:pt idx="70">
                  <c:v>372</c:v>
                </c:pt>
                <c:pt idx="71">
                  <c:v>374</c:v>
                </c:pt>
                <c:pt idx="72">
                  <c:v>376</c:v>
                </c:pt>
                <c:pt idx="73">
                  <c:v>385</c:v>
                </c:pt>
                <c:pt idx="74">
                  <c:v>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04-4D08-A3E5-EBE5EFBCAE5A}"/>
            </c:ext>
          </c:extLst>
        </c:ser>
        <c:ser>
          <c:idx val="2"/>
          <c:order val="2"/>
          <c:tx>
            <c:v>16B Flow Line Temp (Pason)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7625304747108553E-2"/>
                  <c:y val="0.1198416948265175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0" i="0" u="none" strike="noStrike" kern="1200" baseline="0">
                        <a:solidFill>
                          <a:schemeClr val="tx1"/>
                        </a:solidFill>
                        <a:latin typeface="Candara" panose="020E0502030303020204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y = 0.6738x - 30320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tx1">
                      <a:lumMod val="75000"/>
                      <a:lumOff val="2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Candara" panose="020E0502030303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data!$D$5:$D$79</c:f>
              <c:numCache>
                <c:formatCode>m/d/yyyy\ h:mm\ AM/PM</c:formatCode>
                <c:ptCount val="75"/>
                <c:pt idx="0">
                  <c:v>45521.92083333333</c:v>
                </c:pt>
                <c:pt idx="1">
                  <c:v>45522.248611111114</c:v>
                </c:pt>
                <c:pt idx="2">
                  <c:v>45522.427083333336</c:v>
                </c:pt>
                <c:pt idx="3">
                  <c:v>45522.579861111109</c:v>
                </c:pt>
                <c:pt idx="4">
                  <c:v>45522.743750000001</c:v>
                </c:pt>
                <c:pt idx="5">
                  <c:v>45523.205555555556</c:v>
                </c:pt>
                <c:pt idx="6">
                  <c:v>45523.48333333333</c:v>
                </c:pt>
                <c:pt idx="7">
                  <c:v>45523.606944444444</c:v>
                </c:pt>
                <c:pt idx="8">
                  <c:v>45523.748611111114</c:v>
                </c:pt>
                <c:pt idx="9">
                  <c:v>45523.970138888886</c:v>
                </c:pt>
                <c:pt idx="10">
                  <c:v>45524.277777777781</c:v>
                </c:pt>
                <c:pt idx="11">
                  <c:v>45524.40625</c:v>
                </c:pt>
                <c:pt idx="12">
                  <c:v>45524.554861111108</c:v>
                </c:pt>
                <c:pt idx="13">
                  <c:v>45524.629166666666</c:v>
                </c:pt>
                <c:pt idx="14">
                  <c:v>45524.771527777775</c:v>
                </c:pt>
                <c:pt idx="15">
                  <c:v>45525.227777777778</c:v>
                </c:pt>
                <c:pt idx="16">
                  <c:v>45525.466666666667</c:v>
                </c:pt>
                <c:pt idx="17">
                  <c:v>45525.7</c:v>
                </c:pt>
                <c:pt idx="18">
                  <c:v>45526.204861111109</c:v>
                </c:pt>
                <c:pt idx="19">
                  <c:v>45526.431250000001</c:v>
                </c:pt>
                <c:pt idx="20">
                  <c:v>45526.546527777777</c:v>
                </c:pt>
                <c:pt idx="21">
                  <c:v>45526.709722222222</c:v>
                </c:pt>
                <c:pt idx="22">
                  <c:v>45526.856944444444</c:v>
                </c:pt>
                <c:pt idx="23">
                  <c:v>45527.20416666667</c:v>
                </c:pt>
                <c:pt idx="24">
                  <c:v>45527.44027777778</c:v>
                </c:pt>
                <c:pt idx="25">
                  <c:v>45527.593055555553</c:v>
                </c:pt>
                <c:pt idx="26">
                  <c:v>45527.725694444445</c:v>
                </c:pt>
                <c:pt idx="27">
                  <c:v>45527.842361111114</c:v>
                </c:pt>
                <c:pt idx="28">
                  <c:v>45528.203472222223</c:v>
                </c:pt>
                <c:pt idx="29">
                  <c:v>45528.428472222222</c:v>
                </c:pt>
                <c:pt idx="30">
                  <c:v>45528.590277777781</c:v>
                </c:pt>
                <c:pt idx="31">
                  <c:v>45528.826388888891</c:v>
                </c:pt>
                <c:pt idx="32">
                  <c:v>45529.208333333336</c:v>
                </c:pt>
                <c:pt idx="33">
                  <c:v>45529.43472222222</c:v>
                </c:pt>
                <c:pt idx="34">
                  <c:v>45529.563194444447</c:v>
                </c:pt>
                <c:pt idx="35">
                  <c:v>45530.210416666669</c:v>
                </c:pt>
                <c:pt idx="36">
                  <c:v>45530.379861111112</c:v>
                </c:pt>
                <c:pt idx="37">
                  <c:v>45530.489583333336</c:v>
                </c:pt>
                <c:pt idx="38">
                  <c:v>45530.75</c:v>
                </c:pt>
                <c:pt idx="39">
                  <c:v>45530.854166666664</c:v>
                </c:pt>
                <c:pt idx="40">
                  <c:v>45531.201388888891</c:v>
                </c:pt>
                <c:pt idx="41">
                  <c:v>45531.638194444444</c:v>
                </c:pt>
                <c:pt idx="42">
                  <c:v>45531.875</c:v>
                </c:pt>
                <c:pt idx="43">
                  <c:v>45532.214583333334</c:v>
                </c:pt>
                <c:pt idx="44">
                  <c:v>45532.370833333334</c:v>
                </c:pt>
                <c:pt idx="45">
                  <c:v>45532.52847222222</c:v>
                </c:pt>
                <c:pt idx="46">
                  <c:v>45532.709722222222</c:v>
                </c:pt>
                <c:pt idx="47">
                  <c:v>45532.865972222222</c:v>
                </c:pt>
                <c:pt idx="48">
                  <c:v>45533.196527777778</c:v>
                </c:pt>
                <c:pt idx="49">
                  <c:v>45533.534722222219</c:v>
                </c:pt>
                <c:pt idx="50">
                  <c:v>45533.793749999997</c:v>
                </c:pt>
                <c:pt idx="51">
                  <c:v>45534.197222222225</c:v>
                </c:pt>
                <c:pt idx="52">
                  <c:v>45534.457638888889</c:v>
                </c:pt>
                <c:pt idx="53">
                  <c:v>45534.629166666666</c:v>
                </c:pt>
                <c:pt idx="54">
                  <c:v>45534.738194444442</c:v>
                </c:pt>
                <c:pt idx="55">
                  <c:v>45535.215277777781</c:v>
                </c:pt>
                <c:pt idx="56">
                  <c:v>45535.394444444442</c:v>
                </c:pt>
                <c:pt idx="57">
                  <c:v>45535.565972222219</c:v>
                </c:pt>
                <c:pt idx="58">
                  <c:v>45535.707638888889</c:v>
                </c:pt>
                <c:pt idx="59">
                  <c:v>45535.801388888889</c:v>
                </c:pt>
                <c:pt idx="60">
                  <c:v>45536.216666666667</c:v>
                </c:pt>
                <c:pt idx="61">
                  <c:v>45536.359722222223</c:v>
                </c:pt>
                <c:pt idx="62">
                  <c:v>45536.436111111114</c:v>
                </c:pt>
                <c:pt idx="63">
                  <c:v>45536.51458333333</c:v>
                </c:pt>
                <c:pt idx="64">
                  <c:v>45536.628472222219</c:v>
                </c:pt>
                <c:pt idx="65">
                  <c:v>45536.8125</c:v>
                </c:pt>
                <c:pt idx="66">
                  <c:v>45537.210416666669</c:v>
                </c:pt>
                <c:pt idx="67">
                  <c:v>45537.338888888888</c:v>
                </c:pt>
                <c:pt idx="68">
                  <c:v>45537.515277777777</c:v>
                </c:pt>
                <c:pt idx="69">
                  <c:v>45537.588194444441</c:v>
                </c:pt>
                <c:pt idx="70">
                  <c:v>45537.670138888891</c:v>
                </c:pt>
                <c:pt idx="71">
                  <c:v>45537.793749999997</c:v>
                </c:pt>
                <c:pt idx="72">
                  <c:v>45538.215277777781</c:v>
                </c:pt>
                <c:pt idx="73">
                  <c:v>45538.712500000001</c:v>
                </c:pt>
                <c:pt idx="74">
                  <c:v>45538.831250000003</c:v>
                </c:pt>
              </c:numCache>
            </c:numRef>
          </c:xVal>
          <c:yVal>
            <c:numRef>
              <c:f>data!$G$5:$G$79</c:f>
              <c:numCache>
                <c:formatCode>0</c:formatCode>
                <c:ptCount val="75"/>
                <c:pt idx="0">
                  <c:v>356.16</c:v>
                </c:pt>
                <c:pt idx="1">
                  <c:v>356.49</c:v>
                </c:pt>
                <c:pt idx="5">
                  <c:v>357.02</c:v>
                </c:pt>
                <c:pt idx="6">
                  <c:v>355.63</c:v>
                </c:pt>
                <c:pt idx="7">
                  <c:v>355.03</c:v>
                </c:pt>
                <c:pt idx="8">
                  <c:v>356.09</c:v>
                </c:pt>
                <c:pt idx="9">
                  <c:v>357.02</c:v>
                </c:pt>
                <c:pt idx="10">
                  <c:v>358.35</c:v>
                </c:pt>
                <c:pt idx="11">
                  <c:v>357.49</c:v>
                </c:pt>
                <c:pt idx="12">
                  <c:v>355.96</c:v>
                </c:pt>
                <c:pt idx="13">
                  <c:v>355.5</c:v>
                </c:pt>
                <c:pt idx="14">
                  <c:v>355.1</c:v>
                </c:pt>
                <c:pt idx="15">
                  <c:v>358.15</c:v>
                </c:pt>
                <c:pt idx="16">
                  <c:v>355.5</c:v>
                </c:pt>
                <c:pt idx="17">
                  <c:v>355.23</c:v>
                </c:pt>
                <c:pt idx="18">
                  <c:v>359.68</c:v>
                </c:pt>
                <c:pt idx="19">
                  <c:v>353.97</c:v>
                </c:pt>
                <c:pt idx="20">
                  <c:v>357.36</c:v>
                </c:pt>
                <c:pt idx="21">
                  <c:v>358.29</c:v>
                </c:pt>
                <c:pt idx="22">
                  <c:v>353.97</c:v>
                </c:pt>
                <c:pt idx="23">
                  <c:v>358.02</c:v>
                </c:pt>
                <c:pt idx="24">
                  <c:v>357.22</c:v>
                </c:pt>
                <c:pt idx="25">
                  <c:v>354.5</c:v>
                </c:pt>
                <c:pt idx="26">
                  <c:v>354.23</c:v>
                </c:pt>
                <c:pt idx="27">
                  <c:v>356.49</c:v>
                </c:pt>
                <c:pt idx="28">
                  <c:v>358.35</c:v>
                </c:pt>
                <c:pt idx="29">
                  <c:v>355.1</c:v>
                </c:pt>
                <c:pt idx="30">
                  <c:v>355.23</c:v>
                </c:pt>
                <c:pt idx="31">
                  <c:v>356.29</c:v>
                </c:pt>
                <c:pt idx="32">
                  <c:v>358.68</c:v>
                </c:pt>
                <c:pt idx="33">
                  <c:v>358.68</c:v>
                </c:pt>
                <c:pt idx="34">
                  <c:v>357.16</c:v>
                </c:pt>
                <c:pt idx="35">
                  <c:v>360.87</c:v>
                </c:pt>
                <c:pt idx="36">
                  <c:v>361.94</c:v>
                </c:pt>
                <c:pt idx="37">
                  <c:v>360.34</c:v>
                </c:pt>
                <c:pt idx="38">
                  <c:v>363.13</c:v>
                </c:pt>
                <c:pt idx="39">
                  <c:v>363.46</c:v>
                </c:pt>
                <c:pt idx="40">
                  <c:v>363</c:v>
                </c:pt>
                <c:pt idx="41">
                  <c:v>359.81</c:v>
                </c:pt>
                <c:pt idx="42">
                  <c:v>361.87</c:v>
                </c:pt>
                <c:pt idx="43">
                  <c:v>362.73</c:v>
                </c:pt>
                <c:pt idx="44">
                  <c:v>363.66</c:v>
                </c:pt>
                <c:pt idx="45">
                  <c:v>360.08</c:v>
                </c:pt>
                <c:pt idx="46">
                  <c:v>363.06</c:v>
                </c:pt>
                <c:pt idx="47">
                  <c:v>363.13</c:v>
                </c:pt>
                <c:pt idx="48">
                  <c:v>365.98</c:v>
                </c:pt>
                <c:pt idx="49">
                  <c:v>365.92</c:v>
                </c:pt>
                <c:pt idx="50">
                  <c:v>363.33</c:v>
                </c:pt>
                <c:pt idx="51">
                  <c:v>364.66</c:v>
                </c:pt>
                <c:pt idx="52">
                  <c:v>365.92</c:v>
                </c:pt>
                <c:pt idx="53">
                  <c:v>365.85</c:v>
                </c:pt>
                <c:pt idx="54">
                  <c:v>364.26</c:v>
                </c:pt>
                <c:pt idx="55">
                  <c:v>363.79</c:v>
                </c:pt>
                <c:pt idx="56">
                  <c:v>364.52</c:v>
                </c:pt>
                <c:pt idx="57">
                  <c:v>363.53</c:v>
                </c:pt>
                <c:pt idx="58">
                  <c:v>363.99</c:v>
                </c:pt>
                <c:pt idx="59">
                  <c:v>363.66</c:v>
                </c:pt>
                <c:pt idx="60">
                  <c:v>364.52</c:v>
                </c:pt>
                <c:pt idx="61">
                  <c:v>365.65</c:v>
                </c:pt>
                <c:pt idx="62">
                  <c:v>365.85</c:v>
                </c:pt>
                <c:pt idx="63">
                  <c:v>365.39</c:v>
                </c:pt>
                <c:pt idx="64">
                  <c:v>363.6</c:v>
                </c:pt>
                <c:pt idx="65">
                  <c:v>363.99</c:v>
                </c:pt>
                <c:pt idx="66">
                  <c:v>363.6</c:v>
                </c:pt>
                <c:pt idx="67">
                  <c:v>363.99</c:v>
                </c:pt>
                <c:pt idx="68">
                  <c:v>361.2</c:v>
                </c:pt>
                <c:pt idx="69">
                  <c:v>364.59</c:v>
                </c:pt>
                <c:pt idx="70">
                  <c:v>360.28</c:v>
                </c:pt>
                <c:pt idx="71">
                  <c:v>365.12</c:v>
                </c:pt>
                <c:pt idx="72">
                  <c:v>365.45</c:v>
                </c:pt>
                <c:pt idx="73">
                  <c:v>363.93</c:v>
                </c:pt>
                <c:pt idx="74">
                  <c:v>362.6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04-4D08-A3E5-EBE5EFBCA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079632"/>
        <c:axId val="219080024"/>
      </c:scatterChart>
      <c:scatterChart>
        <c:scatterStyle val="lineMarker"/>
        <c:varyColors val="0"/>
        <c:ser>
          <c:idx val="1"/>
          <c:order val="1"/>
          <c:tx>
            <c:v>16B Manual Flow Line Pressure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data!$D$5:$D$79</c:f>
              <c:numCache>
                <c:formatCode>m/d/yyyy\ h:mm\ AM/PM</c:formatCode>
                <c:ptCount val="75"/>
                <c:pt idx="0">
                  <c:v>45521.92083333333</c:v>
                </c:pt>
                <c:pt idx="1">
                  <c:v>45522.248611111114</c:v>
                </c:pt>
                <c:pt idx="2">
                  <c:v>45522.427083333336</c:v>
                </c:pt>
                <c:pt idx="3">
                  <c:v>45522.579861111109</c:v>
                </c:pt>
                <c:pt idx="4">
                  <c:v>45522.743750000001</c:v>
                </c:pt>
                <c:pt idx="5">
                  <c:v>45523.205555555556</c:v>
                </c:pt>
                <c:pt idx="6">
                  <c:v>45523.48333333333</c:v>
                </c:pt>
                <c:pt idx="7">
                  <c:v>45523.606944444444</c:v>
                </c:pt>
                <c:pt idx="8">
                  <c:v>45523.748611111114</c:v>
                </c:pt>
                <c:pt idx="9">
                  <c:v>45523.970138888886</c:v>
                </c:pt>
                <c:pt idx="10">
                  <c:v>45524.277777777781</c:v>
                </c:pt>
                <c:pt idx="11">
                  <c:v>45524.40625</c:v>
                </c:pt>
                <c:pt idx="12">
                  <c:v>45524.554861111108</c:v>
                </c:pt>
                <c:pt idx="13">
                  <c:v>45524.629166666666</c:v>
                </c:pt>
                <c:pt idx="14">
                  <c:v>45524.771527777775</c:v>
                </c:pt>
                <c:pt idx="15">
                  <c:v>45525.227777777778</c:v>
                </c:pt>
                <c:pt idx="16">
                  <c:v>45525.466666666667</c:v>
                </c:pt>
                <c:pt idx="17">
                  <c:v>45525.7</c:v>
                </c:pt>
                <c:pt idx="18">
                  <c:v>45526.204861111109</c:v>
                </c:pt>
                <c:pt idx="19">
                  <c:v>45526.431250000001</c:v>
                </c:pt>
                <c:pt idx="20">
                  <c:v>45526.546527777777</c:v>
                </c:pt>
                <c:pt idx="21">
                  <c:v>45526.709722222222</c:v>
                </c:pt>
                <c:pt idx="22">
                  <c:v>45526.856944444444</c:v>
                </c:pt>
                <c:pt idx="23">
                  <c:v>45527.20416666667</c:v>
                </c:pt>
                <c:pt idx="24">
                  <c:v>45527.44027777778</c:v>
                </c:pt>
                <c:pt idx="25">
                  <c:v>45527.593055555553</c:v>
                </c:pt>
                <c:pt idx="26">
                  <c:v>45527.725694444445</c:v>
                </c:pt>
                <c:pt idx="27">
                  <c:v>45527.842361111114</c:v>
                </c:pt>
                <c:pt idx="28">
                  <c:v>45528.203472222223</c:v>
                </c:pt>
                <c:pt idx="29">
                  <c:v>45528.428472222222</c:v>
                </c:pt>
                <c:pt idx="30">
                  <c:v>45528.590277777781</c:v>
                </c:pt>
                <c:pt idx="31">
                  <c:v>45528.826388888891</c:v>
                </c:pt>
                <c:pt idx="32">
                  <c:v>45529.208333333336</c:v>
                </c:pt>
                <c:pt idx="33">
                  <c:v>45529.43472222222</c:v>
                </c:pt>
                <c:pt idx="34">
                  <c:v>45529.563194444447</c:v>
                </c:pt>
                <c:pt idx="35">
                  <c:v>45530.210416666669</c:v>
                </c:pt>
                <c:pt idx="36">
                  <c:v>45530.379861111112</c:v>
                </c:pt>
                <c:pt idx="37">
                  <c:v>45530.489583333336</c:v>
                </c:pt>
                <c:pt idx="38">
                  <c:v>45530.75</c:v>
                </c:pt>
                <c:pt idx="39">
                  <c:v>45530.854166666664</c:v>
                </c:pt>
                <c:pt idx="40">
                  <c:v>45531.201388888891</c:v>
                </c:pt>
                <c:pt idx="41">
                  <c:v>45531.638194444444</c:v>
                </c:pt>
                <c:pt idx="42">
                  <c:v>45531.875</c:v>
                </c:pt>
                <c:pt idx="43">
                  <c:v>45532.214583333334</c:v>
                </c:pt>
                <c:pt idx="44">
                  <c:v>45532.370833333334</c:v>
                </c:pt>
                <c:pt idx="45">
                  <c:v>45532.52847222222</c:v>
                </c:pt>
                <c:pt idx="46">
                  <c:v>45532.709722222222</c:v>
                </c:pt>
                <c:pt idx="47">
                  <c:v>45532.865972222222</c:v>
                </c:pt>
                <c:pt idx="48">
                  <c:v>45533.196527777778</c:v>
                </c:pt>
                <c:pt idx="49">
                  <c:v>45533.534722222219</c:v>
                </c:pt>
                <c:pt idx="50">
                  <c:v>45533.793749999997</c:v>
                </c:pt>
                <c:pt idx="51">
                  <c:v>45534.197222222225</c:v>
                </c:pt>
                <c:pt idx="52">
                  <c:v>45534.457638888889</c:v>
                </c:pt>
                <c:pt idx="53">
                  <c:v>45534.629166666666</c:v>
                </c:pt>
                <c:pt idx="54">
                  <c:v>45534.738194444442</c:v>
                </c:pt>
                <c:pt idx="55">
                  <c:v>45535.215277777781</c:v>
                </c:pt>
                <c:pt idx="56">
                  <c:v>45535.394444444442</c:v>
                </c:pt>
                <c:pt idx="57">
                  <c:v>45535.565972222219</c:v>
                </c:pt>
                <c:pt idx="58">
                  <c:v>45535.707638888889</c:v>
                </c:pt>
                <c:pt idx="59">
                  <c:v>45535.801388888889</c:v>
                </c:pt>
                <c:pt idx="60">
                  <c:v>45536.216666666667</c:v>
                </c:pt>
                <c:pt idx="61">
                  <c:v>45536.359722222223</c:v>
                </c:pt>
                <c:pt idx="62">
                  <c:v>45536.436111111114</c:v>
                </c:pt>
                <c:pt idx="63">
                  <c:v>45536.51458333333</c:v>
                </c:pt>
                <c:pt idx="64">
                  <c:v>45536.628472222219</c:v>
                </c:pt>
                <c:pt idx="65">
                  <c:v>45536.8125</c:v>
                </c:pt>
                <c:pt idx="66">
                  <c:v>45537.210416666669</c:v>
                </c:pt>
                <c:pt idx="67">
                  <c:v>45537.338888888888</c:v>
                </c:pt>
                <c:pt idx="68">
                  <c:v>45537.515277777777</c:v>
                </c:pt>
                <c:pt idx="69">
                  <c:v>45537.588194444441</c:v>
                </c:pt>
                <c:pt idx="70">
                  <c:v>45537.670138888891</c:v>
                </c:pt>
                <c:pt idx="71">
                  <c:v>45537.793749999997</c:v>
                </c:pt>
                <c:pt idx="72">
                  <c:v>45538.215277777781</c:v>
                </c:pt>
                <c:pt idx="73">
                  <c:v>45538.712500000001</c:v>
                </c:pt>
                <c:pt idx="74">
                  <c:v>45538.831250000003</c:v>
                </c:pt>
              </c:numCache>
            </c:numRef>
          </c:xVal>
          <c:yVal>
            <c:numRef>
              <c:f>data!$F$5:$F$79</c:f>
              <c:numCache>
                <c:formatCode>General</c:formatCode>
                <c:ptCount val="75"/>
                <c:pt idx="0">
                  <c:v>195</c:v>
                </c:pt>
                <c:pt idx="1">
                  <c:v>195</c:v>
                </c:pt>
                <c:pt idx="2">
                  <c:v>185</c:v>
                </c:pt>
                <c:pt idx="3">
                  <c:v>180</c:v>
                </c:pt>
                <c:pt idx="4">
                  <c:v>185</c:v>
                </c:pt>
                <c:pt idx="5">
                  <c:v>190</c:v>
                </c:pt>
                <c:pt idx="6">
                  <c:v>195</c:v>
                </c:pt>
                <c:pt idx="7">
                  <c:v>190</c:v>
                </c:pt>
                <c:pt idx="8">
                  <c:v>195</c:v>
                </c:pt>
                <c:pt idx="9">
                  <c:v>195</c:v>
                </c:pt>
                <c:pt idx="10">
                  <c:v>195</c:v>
                </c:pt>
                <c:pt idx="11">
                  <c:v>200</c:v>
                </c:pt>
                <c:pt idx="12">
                  <c:v>195</c:v>
                </c:pt>
                <c:pt idx="13">
                  <c:v>195</c:v>
                </c:pt>
                <c:pt idx="14">
                  <c:v>195</c:v>
                </c:pt>
                <c:pt idx="15">
                  <c:v>195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210</c:v>
                </c:pt>
                <c:pt idx="26">
                  <c:v>200</c:v>
                </c:pt>
                <c:pt idx="27">
                  <c:v>200</c:v>
                </c:pt>
                <c:pt idx="28">
                  <c:v>210</c:v>
                </c:pt>
                <c:pt idx="29">
                  <c:v>210</c:v>
                </c:pt>
                <c:pt idx="30">
                  <c:v>210</c:v>
                </c:pt>
                <c:pt idx="31">
                  <c:v>210</c:v>
                </c:pt>
                <c:pt idx="32">
                  <c:v>210</c:v>
                </c:pt>
                <c:pt idx="33">
                  <c:v>210</c:v>
                </c:pt>
                <c:pt idx="34">
                  <c:v>210</c:v>
                </c:pt>
                <c:pt idx="35">
                  <c:v>210</c:v>
                </c:pt>
                <c:pt idx="36">
                  <c:v>210</c:v>
                </c:pt>
                <c:pt idx="37">
                  <c:v>210</c:v>
                </c:pt>
                <c:pt idx="38">
                  <c:v>210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195</c:v>
                </c:pt>
                <c:pt idx="43">
                  <c:v>200</c:v>
                </c:pt>
                <c:pt idx="44">
                  <c:v>200</c:v>
                </c:pt>
                <c:pt idx="45">
                  <c:v>205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195</c:v>
                </c:pt>
                <c:pt idx="50">
                  <c:v>195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04-4D08-A3E5-EBE5EFBCAE5A}"/>
            </c:ext>
          </c:extLst>
        </c:ser>
        <c:ser>
          <c:idx val="3"/>
          <c:order val="3"/>
          <c:tx>
            <c:v>16B Wellhead Pressure (Pason)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data!$D$5:$D$79</c:f>
              <c:numCache>
                <c:formatCode>m/d/yyyy\ h:mm\ AM/PM</c:formatCode>
                <c:ptCount val="75"/>
                <c:pt idx="0">
                  <c:v>45521.92083333333</c:v>
                </c:pt>
                <c:pt idx="1">
                  <c:v>45522.248611111114</c:v>
                </c:pt>
                <c:pt idx="2">
                  <c:v>45522.427083333336</c:v>
                </c:pt>
                <c:pt idx="3">
                  <c:v>45522.579861111109</c:v>
                </c:pt>
                <c:pt idx="4">
                  <c:v>45522.743750000001</c:v>
                </c:pt>
                <c:pt idx="5">
                  <c:v>45523.205555555556</c:v>
                </c:pt>
                <c:pt idx="6">
                  <c:v>45523.48333333333</c:v>
                </c:pt>
                <c:pt idx="7">
                  <c:v>45523.606944444444</c:v>
                </c:pt>
                <c:pt idx="8">
                  <c:v>45523.748611111114</c:v>
                </c:pt>
                <c:pt idx="9">
                  <c:v>45523.970138888886</c:v>
                </c:pt>
                <c:pt idx="10">
                  <c:v>45524.277777777781</c:v>
                </c:pt>
                <c:pt idx="11">
                  <c:v>45524.40625</c:v>
                </c:pt>
                <c:pt idx="12">
                  <c:v>45524.554861111108</c:v>
                </c:pt>
                <c:pt idx="13">
                  <c:v>45524.629166666666</c:v>
                </c:pt>
                <c:pt idx="14">
                  <c:v>45524.771527777775</c:v>
                </c:pt>
                <c:pt idx="15">
                  <c:v>45525.227777777778</c:v>
                </c:pt>
                <c:pt idx="16">
                  <c:v>45525.466666666667</c:v>
                </c:pt>
                <c:pt idx="17">
                  <c:v>45525.7</c:v>
                </c:pt>
                <c:pt idx="18">
                  <c:v>45526.204861111109</c:v>
                </c:pt>
                <c:pt idx="19">
                  <c:v>45526.431250000001</c:v>
                </c:pt>
                <c:pt idx="20">
                  <c:v>45526.546527777777</c:v>
                </c:pt>
                <c:pt idx="21">
                  <c:v>45526.709722222222</c:v>
                </c:pt>
                <c:pt idx="22">
                  <c:v>45526.856944444444</c:v>
                </c:pt>
                <c:pt idx="23">
                  <c:v>45527.20416666667</c:v>
                </c:pt>
                <c:pt idx="24">
                  <c:v>45527.44027777778</c:v>
                </c:pt>
                <c:pt idx="25">
                  <c:v>45527.593055555553</c:v>
                </c:pt>
                <c:pt idx="26">
                  <c:v>45527.725694444445</c:v>
                </c:pt>
                <c:pt idx="27">
                  <c:v>45527.842361111114</c:v>
                </c:pt>
                <c:pt idx="28">
                  <c:v>45528.203472222223</c:v>
                </c:pt>
                <c:pt idx="29">
                  <c:v>45528.428472222222</c:v>
                </c:pt>
                <c:pt idx="30">
                  <c:v>45528.590277777781</c:v>
                </c:pt>
                <c:pt idx="31">
                  <c:v>45528.826388888891</c:v>
                </c:pt>
                <c:pt idx="32">
                  <c:v>45529.208333333336</c:v>
                </c:pt>
                <c:pt idx="33">
                  <c:v>45529.43472222222</c:v>
                </c:pt>
                <c:pt idx="34">
                  <c:v>45529.563194444447</c:v>
                </c:pt>
                <c:pt idx="35">
                  <c:v>45530.210416666669</c:v>
                </c:pt>
                <c:pt idx="36">
                  <c:v>45530.379861111112</c:v>
                </c:pt>
                <c:pt idx="37">
                  <c:v>45530.489583333336</c:v>
                </c:pt>
                <c:pt idx="38">
                  <c:v>45530.75</c:v>
                </c:pt>
                <c:pt idx="39">
                  <c:v>45530.854166666664</c:v>
                </c:pt>
                <c:pt idx="40">
                  <c:v>45531.201388888891</c:v>
                </c:pt>
                <c:pt idx="41">
                  <c:v>45531.638194444444</c:v>
                </c:pt>
                <c:pt idx="42">
                  <c:v>45531.875</c:v>
                </c:pt>
                <c:pt idx="43">
                  <c:v>45532.214583333334</c:v>
                </c:pt>
                <c:pt idx="44">
                  <c:v>45532.370833333334</c:v>
                </c:pt>
                <c:pt idx="45">
                  <c:v>45532.52847222222</c:v>
                </c:pt>
                <c:pt idx="46">
                  <c:v>45532.709722222222</c:v>
                </c:pt>
                <c:pt idx="47">
                  <c:v>45532.865972222222</c:v>
                </c:pt>
                <c:pt idx="48">
                  <c:v>45533.196527777778</c:v>
                </c:pt>
                <c:pt idx="49">
                  <c:v>45533.534722222219</c:v>
                </c:pt>
                <c:pt idx="50">
                  <c:v>45533.793749999997</c:v>
                </c:pt>
                <c:pt idx="51">
                  <c:v>45534.197222222225</c:v>
                </c:pt>
                <c:pt idx="52">
                  <c:v>45534.457638888889</c:v>
                </c:pt>
                <c:pt idx="53">
                  <c:v>45534.629166666666</c:v>
                </c:pt>
                <c:pt idx="54">
                  <c:v>45534.738194444442</c:v>
                </c:pt>
                <c:pt idx="55">
                  <c:v>45535.215277777781</c:v>
                </c:pt>
                <c:pt idx="56">
                  <c:v>45535.394444444442</c:v>
                </c:pt>
                <c:pt idx="57">
                  <c:v>45535.565972222219</c:v>
                </c:pt>
                <c:pt idx="58">
                  <c:v>45535.707638888889</c:v>
                </c:pt>
                <c:pt idx="59">
                  <c:v>45535.801388888889</c:v>
                </c:pt>
                <c:pt idx="60">
                  <c:v>45536.216666666667</c:v>
                </c:pt>
                <c:pt idx="61">
                  <c:v>45536.359722222223</c:v>
                </c:pt>
                <c:pt idx="62">
                  <c:v>45536.436111111114</c:v>
                </c:pt>
                <c:pt idx="63">
                  <c:v>45536.51458333333</c:v>
                </c:pt>
                <c:pt idx="64">
                  <c:v>45536.628472222219</c:v>
                </c:pt>
                <c:pt idx="65">
                  <c:v>45536.8125</c:v>
                </c:pt>
                <c:pt idx="66">
                  <c:v>45537.210416666669</c:v>
                </c:pt>
                <c:pt idx="67">
                  <c:v>45537.338888888888</c:v>
                </c:pt>
                <c:pt idx="68">
                  <c:v>45537.515277777777</c:v>
                </c:pt>
                <c:pt idx="69">
                  <c:v>45537.588194444441</c:v>
                </c:pt>
                <c:pt idx="70">
                  <c:v>45537.670138888891</c:v>
                </c:pt>
                <c:pt idx="71">
                  <c:v>45537.793749999997</c:v>
                </c:pt>
                <c:pt idx="72">
                  <c:v>45538.215277777781</c:v>
                </c:pt>
                <c:pt idx="73">
                  <c:v>45538.712500000001</c:v>
                </c:pt>
                <c:pt idx="74">
                  <c:v>45538.831250000003</c:v>
                </c:pt>
              </c:numCache>
            </c:numRef>
          </c:xVal>
          <c:yVal>
            <c:numRef>
              <c:f>data!$H$5:$H$79</c:f>
              <c:numCache>
                <c:formatCode>0</c:formatCode>
                <c:ptCount val="75"/>
                <c:pt idx="0">
                  <c:v>259.012</c:v>
                </c:pt>
                <c:pt idx="1">
                  <c:v>262.762</c:v>
                </c:pt>
                <c:pt idx="2">
                  <c:v>250.886</c:v>
                </c:pt>
                <c:pt idx="3">
                  <c:v>241.51</c:v>
                </c:pt>
                <c:pt idx="4">
                  <c:v>245.261</c:v>
                </c:pt>
                <c:pt idx="5">
                  <c:v>255.887</c:v>
                </c:pt>
                <c:pt idx="6">
                  <c:v>260.262</c:v>
                </c:pt>
                <c:pt idx="7">
                  <c:v>259.012</c:v>
                </c:pt>
                <c:pt idx="8">
                  <c:v>259.637</c:v>
                </c:pt>
                <c:pt idx="9">
                  <c:v>264.63799999999998</c:v>
                </c:pt>
                <c:pt idx="10">
                  <c:v>267.76299999999998</c:v>
                </c:pt>
                <c:pt idx="11">
                  <c:v>267.13799999999998</c:v>
                </c:pt>
                <c:pt idx="12">
                  <c:v>266.51299999999998</c:v>
                </c:pt>
                <c:pt idx="13">
                  <c:v>262.137</c:v>
                </c:pt>
                <c:pt idx="14">
                  <c:v>262.137</c:v>
                </c:pt>
                <c:pt idx="15">
                  <c:v>264.63799999999998</c:v>
                </c:pt>
                <c:pt idx="16">
                  <c:v>266.51299999999998</c:v>
                </c:pt>
                <c:pt idx="17">
                  <c:v>261.512</c:v>
                </c:pt>
                <c:pt idx="18">
                  <c:v>262.762</c:v>
                </c:pt>
                <c:pt idx="19">
                  <c:v>265.262</c:v>
                </c:pt>
                <c:pt idx="20">
                  <c:v>267.13799999999998</c:v>
                </c:pt>
                <c:pt idx="21">
                  <c:v>267.13799999999998</c:v>
                </c:pt>
                <c:pt idx="22">
                  <c:v>267.13799999999998</c:v>
                </c:pt>
                <c:pt idx="23">
                  <c:v>270.26299999999998</c:v>
                </c:pt>
                <c:pt idx="24">
                  <c:v>270.26299999999998</c:v>
                </c:pt>
                <c:pt idx="25">
                  <c:v>272.13799999999998</c:v>
                </c:pt>
                <c:pt idx="26">
                  <c:v>271.51299999999998</c:v>
                </c:pt>
                <c:pt idx="27">
                  <c:v>271.51299999999998</c:v>
                </c:pt>
                <c:pt idx="28">
                  <c:v>270.26299999999998</c:v>
                </c:pt>
                <c:pt idx="29">
                  <c:v>270.88799999999998</c:v>
                </c:pt>
                <c:pt idx="30">
                  <c:v>270.88799999999998</c:v>
                </c:pt>
                <c:pt idx="31">
                  <c:v>272.13799999999998</c:v>
                </c:pt>
                <c:pt idx="32">
                  <c:v>272.76299999999998</c:v>
                </c:pt>
                <c:pt idx="33">
                  <c:v>271.51299999999998</c:v>
                </c:pt>
                <c:pt idx="34">
                  <c:v>271.51299999999998</c:v>
                </c:pt>
                <c:pt idx="35">
                  <c:v>270.88799999999998</c:v>
                </c:pt>
                <c:pt idx="36">
                  <c:v>272.76299999999998</c:v>
                </c:pt>
                <c:pt idx="37">
                  <c:v>267.13799999999998</c:v>
                </c:pt>
                <c:pt idx="38">
                  <c:v>238.38499999999999</c:v>
                </c:pt>
                <c:pt idx="39">
                  <c:v>236.51</c:v>
                </c:pt>
                <c:pt idx="40">
                  <c:v>234.01</c:v>
                </c:pt>
                <c:pt idx="41">
                  <c:v>223.38399999999999</c:v>
                </c:pt>
                <c:pt idx="42">
                  <c:v>227.13399999999999</c:v>
                </c:pt>
                <c:pt idx="43">
                  <c:v>229.63399999999999</c:v>
                </c:pt>
                <c:pt idx="44">
                  <c:v>227.75899999999999</c:v>
                </c:pt>
                <c:pt idx="45">
                  <c:v>237.13499999999999</c:v>
                </c:pt>
                <c:pt idx="46">
                  <c:v>228.38399999999999</c:v>
                </c:pt>
                <c:pt idx="47">
                  <c:v>229.00899999999999</c:v>
                </c:pt>
                <c:pt idx="48">
                  <c:v>250.261</c:v>
                </c:pt>
                <c:pt idx="49">
                  <c:v>246.511</c:v>
                </c:pt>
                <c:pt idx="50">
                  <c:v>248.386</c:v>
                </c:pt>
                <c:pt idx="51">
                  <c:v>254.011</c:v>
                </c:pt>
                <c:pt idx="52">
                  <c:v>249.636</c:v>
                </c:pt>
                <c:pt idx="53">
                  <c:v>247.761</c:v>
                </c:pt>
                <c:pt idx="54">
                  <c:v>247.761</c:v>
                </c:pt>
                <c:pt idx="55">
                  <c:v>252.136</c:v>
                </c:pt>
                <c:pt idx="56">
                  <c:v>250.261</c:v>
                </c:pt>
                <c:pt idx="57">
                  <c:v>247.136</c:v>
                </c:pt>
                <c:pt idx="58">
                  <c:v>247.761</c:v>
                </c:pt>
                <c:pt idx="59">
                  <c:v>249.011</c:v>
                </c:pt>
                <c:pt idx="60">
                  <c:v>252.136</c:v>
                </c:pt>
                <c:pt idx="61">
                  <c:v>252.136</c:v>
                </c:pt>
                <c:pt idx="62">
                  <c:v>248.386</c:v>
                </c:pt>
                <c:pt idx="63">
                  <c:v>247.136</c:v>
                </c:pt>
                <c:pt idx="64">
                  <c:v>246.511</c:v>
                </c:pt>
                <c:pt idx="65">
                  <c:v>248.386</c:v>
                </c:pt>
                <c:pt idx="66">
                  <c:v>252.136</c:v>
                </c:pt>
                <c:pt idx="67">
                  <c:v>253.386</c:v>
                </c:pt>
                <c:pt idx="68">
                  <c:v>248.386</c:v>
                </c:pt>
                <c:pt idx="69">
                  <c:v>247.136</c:v>
                </c:pt>
                <c:pt idx="70">
                  <c:v>248.386</c:v>
                </c:pt>
                <c:pt idx="71">
                  <c:v>251.511</c:v>
                </c:pt>
                <c:pt idx="72">
                  <c:v>252.761</c:v>
                </c:pt>
                <c:pt idx="73">
                  <c:v>245.261</c:v>
                </c:pt>
                <c:pt idx="74">
                  <c:v>248.386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04-4D08-A3E5-EBE5EFBCA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358096"/>
        <c:axId val="222988784"/>
      </c:scatterChart>
      <c:valAx>
        <c:axId val="219079632"/>
        <c:scaling>
          <c:orientation val="minMax"/>
          <c:min val="45515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inorGridlines>
        <c:numFmt formatCode="m/d/yyyy\ 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endParaRPr lang="en-US"/>
          </a:p>
        </c:txPr>
        <c:crossAx val="219080024"/>
        <c:crosses val="autoZero"/>
        <c:crossBetween val="midCat"/>
        <c:majorUnit val="9"/>
      </c:valAx>
      <c:valAx>
        <c:axId val="219080024"/>
        <c:scaling>
          <c:orientation val="minMax"/>
          <c:max val="400"/>
          <c:min val="2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Candara" panose="020E0502030303020204" pitchFamily="34" charset="0"/>
                    <a:ea typeface="+mn-ea"/>
                    <a:cs typeface="+mn-cs"/>
                  </a:defRPr>
                </a:pPr>
                <a:r>
                  <a:rPr lang="en-US"/>
                  <a:t>Temperature (°F)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endParaRPr lang="en-US"/>
          </a:p>
        </c:txPr>
        <c:crossAx val="219079632"/>
        <c:crosses val="autoZero"/>
        <c:crossBetween val="midCat"/>
        <c:minorUnit val="10"/>
      </c:valAx>
      <c:valAx>
        <c:axId val="222988784"/>
        <c:scaling>
          <c:orientation val="minMax"/>
          <c:max val="5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Candara" panose="020E0502030303020204" pitchFamily="34" charset="0"/>
                    <a:ea typeface="+mn-ea"/>
                    <a:cs typeface="+mn-cs"/>
                  </a:defRPr>
                </a:pPr>
                <a:r>
                  <a:rPr lang="en-US"/>
                  <a:t>Pressure (psig)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endParaRPr lang="en-US"/>
          </a:p>
        </c:txPr>
        <c:crossAx val="275358096"/>
        <c:crosses val="max"/>
        <c:crossBetween val="midCat"/>
      </c:valAx>
      <c:valAx>
        <c:axId val="275358096"/>
        <c:scaling>
          <c:orientation val="minMax"/>
        </c:scaling>
        <c:delete val="1"/>
        <c:axPos val="b"/>
        <c:numFmt formatCode="m/d/yyyy\ h:mm\ AM/PM" sourceLinked="1"/>
        <c:majorTickMark val="out"/>
        <c:minorTickMark val="none"/>
        <c:tickLblPos val="nextTo"/>
        <c:crossAx val="2229887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4994637513339815"/>
          <c:y val="0.7770086719344883"/>
          <c:w val="0.69277391786266418"/>
          <c:h val="8.9606329660816691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chemeClr val="tx1"/>
          </a:solidFill>
          <a:latin typeface="Candara" panose="020E0502030303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679" cy="62778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229" cy="62840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0.5597</cdr:x>
      <cdr:y>0.35575</cdr:y>
    </cdr:from>
    <cdr:to>
      <cdr:x>0.59852</cdr:x>
      <cdr:y>0.41371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58782F58-E89B-3BD9-F49B-8E7F8AADB14E}"/>
            </a:ext>
          </a:extLst>
        </cdr:cNvPr>
        <cdr:cNvCxnSpPr/>
      </cdr:nvCxnSpPr>
      <cdr:spPr>
        <a:xfrm xmlns:a="http://schemas.openxmlformats.org/drawingml/2006/main" flipH="1" flipV="1">
          <a:off x="4846544" y="2235574"/>
          <a:ext cx="336177" cy="36419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chemeClr val="tx1"/>
          </a:solidFill>
          <a:tailEnd type="triangle" w="med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0.41929</cdr:x>
      <cdr:y>0.21131</cdr:y>
    </cdr:from>
    <cdr:to>
      <cdr:x>0.47364</cdr:x>
      <cdr:y>0.29958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819BFD5A-0532-37C1-D258-6F2B5F589E62}"/>
            </a:ext>
          </a:extLst>
        </cdr:cNvPr>
        <cdr:cNvCxnSpPr/>
      </cdr:nvCxnSpPr>
      <cdr:spPr>
        <a:xfrm xmlns:a="http://schemas.openxmlformats.org/drawingml/2006/main">
          <a:off x="3630706" y="1327897"/>
          <a:ext cx="470647" cy="554691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1"/>
          </a:solidFill>
          <a:tailEnd type="triangle" w="med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94"/>
  <sheetViews>
    <sheetView tabSelected="1" workbookViewId="0">
      <pane ySplit="4" topLeftCell="A5" activePane="bottomLeft" state="frozen"/>
      <selection pane="bottomLeft" activeCell="F85" sqref="F85"/>
    </sheetView>
  </sheetViews>
  <sheetFormatPr defaultRowHeight="14.25"/>
  <cols>
    <col min="2" max="2" width="12.73046875" style="6" customWidth="1"/>
    <col min="3" max="3" width="10.73046875" customWidth="1"/>
    <col min="4" max="4" width="20.73046875" customWidth="1"/>
    <col min="5" max="6" width="9.73046875" style="6" customWidth="1"/>
    <col min="7" max="8" width="9.73046875" style="7" customWidth="1"/>
    <col min="9" max="9" width="9.06640625" style="6"/>
  </cols>
  <sheetData>
    <row r="2" spans="2:9" ht="16.5" customHeight="1">
      <c r="E2" s="11" t="s">
        <v>13</v>
      </c>
      <c r="F2" s="11"/>
      <c r="G2" s="10" t="s">
        <v>12</v>
      </c>
      <c r="H2" s="10"/>
      <c r="I2" s="8" t="s">
        <v>14</v>
      </c>
    </row>
    <row r="3" spans="2:9">
      <c r="B3" s="1" t="s">
        <v>3</v>
      </c>
      <c r="C3" s="1" t="s">
        <v>5</v>
      </c>
      <c r="D3" s="1" t="s">
        <v>8</v>
      </c>
      <c r="E3" s="1" t="s">
        <v>0</v>
      </c>
      <c r="F3" s="1" t="s">
        <v>1</v>
      </c>
      <c r="G3" s="5" t="s">
        <v>0</v>
      </c>
      <c r="H3" s="5" t="s">
        <v>11</v>
      </c>
    </row>
    <row r="4" spans="2:9">
      <c r="B4" s="1" t="s">
        <v>4</v>
      </c>
      <c r="C4" s="1" t="s">
        <v>6</v>
      </c>
      <c r="D4" s="1" t="s">
        <v>9</v>
      </c>
      <c r="E4" s="1" t="s">
        <v>7</v>
      </c>
      <c r="F4" s="1" t="s">
        <v>2</v>
      </c>
      <c r="G4" s="5" t="s">
        <v>10</v>
      </c>
      <c r="H4" s="5" t="s">
        <v>2</v>
      </c>
    </row>
    <row r="5" spans="2:9">
      <c r="B5" s="9">
        <v>45521</v>
      </c>
      <c r="C5" s="2">
        <v>0.92083333333333339</v>
      </c>
      <c r="D5" s="4">
        <f>B5+C5</f>
        <v>45521.92083333333</v>
      </c>
      <c r="E5" s="6">
        <v>369</v>
      </c>
      <c r="F5" s="6">
        <v>195</v>
      </c>
      <c r="G5" s="7">
        <v>356.16</v>
      </c>
      <c r="H5" s="7">
        <v>259.012</v>
      </c>
      <c r="I5" s="7">
        <f>E5-G5</f>
        <v>12.839999999999975</v>
      </c>
    </row>
    <row r="6" spans="2:9">
      <c r="B6" s="9">
        <v>45522</v>
      </c>
      <c r="C6" s="2">
        <v>0.24861111111111112</v>
      </c>
      <c r="D6" s="4">
        <f t="shared" ref="D6:D69" si="0">B6+C6</f>
        <v>45522.248611111114</v>
      </c>
      <c r="E6" s="6">
        <v>369</v>
      </c>
      <c r="F6" s="6">
        <v>195</v>
      </c>
      <c r="G6" s="7">
        <v>356.49</v>
      </c>
      <c r="H6" s="7">
        <v>262.762</v>
      </c>
      <c r="I6" s="7">
        <f>E6-G6</f>
        <v>12.509999999999991</v>
      </c>
    </row>
    <row r="7" spans="2:9">
      <c r="B7" s="9">
        <v>45522</v>
      </c>
      <c r="C7" s="2">
        <v>0.42708333333333331</v>
      </c>
      <c r="D7" s="4">
        <f t="shared" si="0"/>
        <v>45522.427083333336</v>
      </c>
      <c r="E7" s="6">
        <v>372</v>
      </c>
      <c r="F7" s="6">
        <v>185</v>
      </c>
      <c r="H7" s="7">
        <v>250.886</v>
      </c>
    </row>
    <row r="8" spans="2:9">
      <c r="B8" s="9">
        <v>45522</v>
      </c>
      <c r="C8" s="2">
        <v>0.57986111111111105</v>
      </c>
      <c r="D8" s="4">
        <f t="shared" si="0"/>
        <v>45522.579861111109</v>
      </c>
      <c r="E8" s="6">
        <v>367</v>
      </c>
      <c r="F8" s="6">
        <v>180</v>
      </c>
      <c r="H8" s="7">
        <v>241.51</v>
      </c>
    </row>
    <row r="9" spans="2:9">
      <c r="B9" s="9">
        <v>45522</v>
      </c>
      <c r="C9" s="2">
        <v>0.74375000000000002</v>
      </c>
      <c r="D9" s="4">
        <f t="shared" si="0"/>
        <v>45522.743750000001</v>
      </c>
      <c r="E9" s="6">
        <v>364</v>
      </c>
      <c r="F9" s="6">
        <v>185</v>
      </c>
      <c r="H9" s="7">
        <v>245.261</v>
      </c>
    </row>
    <row r="10" spans="2:9">
      <c r="B10" s="9">
        <v>45523</v>
      </c>
      <c r="C10" s="2">
        <v>0.20555555555555557</v>
      </c>
      <c r="D10" s="4">
        <f t="shared" si="0"/>
        <v>45523.205555555556</v>
      </c>
      <c r="E10" s="6">
        <v>366</v>
      </c>
      <c r="F10" s="6">
        <v>190</v>
      </c>
      <c r="G10" s="7">
        <v>357.02</v>
      </c>
      <c r="H10" s="7">
        <v>255.887</v>
      </c>
      <c r="I10" s="7">
        <f t="shared" ref="I10:I73" si="1">E10-G10</f>
        <v>8.9800000000000182</v>
      </c>
    </row>
    <row r="11" spans="2:9">
      <c r="B11" s="9">
        <v>45523</v>
      </c>
      <c r="C11" s="2">
        <v>0.48333333333333334</v>
      </c>
      <c r="D11" s="4">
        <f t="shared" si="0"/>
        <v>45523.48333333333</v>
      </c>
      <c r="E11" s="6">
        <v>372</v>
      </c>
      <c r="F11" s="6">
        <v>195</v>
      </c>
      <c r="G11" s="7">
        <v>355.63</v>
      </c>
      <c r="H11" s="7">
        <v>260.262</v>
      </c>
      <c r="I11" s="7">
        <f t="shared" si="1"/>
        <v>16.370000000000005</v>
      </c>
    </row>
    <row r="12" spans="2:9">
      <c r="B12" s="9">
        <v>45523</v>
      </c>
      <c r="C12" s="2">
        <v>0.6069444444444444</v>
      </c>
      <c r="D12" s="4">
        <f t="shared" si="0"/>
        <v>45523.606944444444</v>
      </c>
      <c r="E12" s="6">
        <v>371</v>
      </c>
      <c r="F12" s="6">
        <v>190</v>
      </c>
      <c r="G12" s="7">
        <v>355.03</v>
      </c>
      <c r="H12" s="7">
        <v>259.012</v>
      </c>
      <c r="I12" s="7">
        <f t="shared" si="1"/>
        <v>15.970000000000027</v>
      </c>
    </row>
    <row r="13" spans="2:9">
      <c r="B13" s="9">
        <v>45523</v>
      </c>
      <c r="C13" s="2">
        <v>0.74861111111111101</v>
      </c>
      <c r="D13" s="4">
        <f t="shared" si="0"/>
        <v>45523.748611111114</v>
      </c>
      <c r="E13" s="6">
        <v>371</v>
      </c>
      <c r="F13" s="6">
        <v>195</v>
      </c>
      <c r="G13" s="7">
        <v>356.09</v>
      </c>
      <c r="H13" s="7">
        <v>259.637</v>
      </c>
      <c r="I13" s="7">
        <f t="shared" si="1"/>
        <v>14.910000000000025</v>
      </c>
    </row>
    <row r="14" spans="2:9">
      <c r="B14" s="9">
        <v>45523</v>
      </c>
      <c r="C14" s="2">
        <v>0.97013888888888899</v>
      </c>
      <c r="D14" s="4">
        <f t="shared" si="0"/>
        <v>45523.970138888886</v>
      </c>
      <c r="E14" s="6">
        <v>366</v>
      </c>
      <c r="F14" s="6">
        <v>195</v>
      </c>
      <c r="G14" s="7">
        <v>357.02</v>
      </c>
      <c r="H14" s="7">
        <v>264.63799999999998</v>
      </c>
      <c r="I14" s="7">
        <f t="shared" si="1"/>
        <v>8.9800000000000182</v>
      </c>
    </row>
    <row r="15" spans="2:9">
      <c r="B15" s="9">
        <v>45524</v>
      </c>
      <c r="C15" s="2">
        <v>0.27777777777777779</v>
      </c>
      <c r="D15" s="4">
        <f t="shared" si="0"/>
        <v>45524.277777777781</v>
      </c>
      <c r="E15" s="6">
        <v>364</v>
      </c>
      <c r="F15" s="6">
        <v>195</v>
      </c>
      <c r="G15" s="7">
        <v>358.35</v>
      </c>
      <c r="H15" s="7">
        <v>267.76299999999998</v>
      </c>
      <c r="I15" s="7">
        <f t="shared" si="1"/>
        <v>5.6499999999999773</v>
      </c>
    </row>
    <row r="16" spans="2:9">
      <c r="B16" s="9">
        <v>45524</v>
      </c>
      <c r="C16" s="2">
        <v>0.40625</v>
      </c>
      <c r="D16" s="4">
        <f t="shared" si="0"/>
        <v>45524.40625</v>
      </c>
      <c r="E16" s="6">
        <v>368</v>
      </c>
      <c r="F16" s="6">
        <v>200</v>
      </c>
      <c r="G16" s="7">
        <v>357.49</v>
      </c>
      <c r="H16" s="7">
        <v>267.13799999999998</v>
      </c>
      <c r="I16" s="7">
        <f t="shared" si="1"/>
        <v>10.509999999999991</v>
      </c>
    </row>
    <row r="17" spans="2:9">
      <c r="B17" s="9">
        <v>45524</v>
      </c>
      <c r="C17" s="2">
        <v>0.55486111111111114</v>
      </c>
      <c r="D17" s="4">
        <f t="shared" si="0"/>
        <v>45524.554861111108</v>
      </c>
      <c r="E17" s="6">
        <v>375</v>
      </c>
      <c r="F17" s="6">
        <v>195</v>
      </c>
      <c r="G17" s="7">
        <v>355.96</v>
      </c>
      <c r="H17" s="7">
        <v>266.51299999999998</v>
      </c>
      <c r="I17" s="7">
        <f t="shared" si="1"/>
        <v>19.04000000000002</v>
      </c>
    </row>
    <row r="18" spans="2:9">
      <c r="B18" s="9">
        <v>45524</v>
      </c>
      <c r="C18" s="2">
        <v>0.62916666666666665</v>
      </c>
      <c r="D18" s="4">
        <f t="shared" si="0"/>
        <v>45524.629166666666</v>
      </c>
      <c r="E18" s="6">
        <v>372</v>
      </c>
      <c r="F18" s="6">
        <v>195</v>
      </c>
      <c r="G18" s="7">
        <v>355.5</v>
      </c>
      <c r="H18" s="7">
        <v>262.137</v>
      </c>
      <c r="I18" s="7">
        <f t="shared" si="1"/>
        <v>16.5</v>
      </c>
    </row>
    <row r="19" spans="2:9">
      <c r="B19" s="9">
        <v>45524</v>
      </c>
      <c r="C19" s="2">
        <v>0.7715277777777777</v>
      </c>
      <c r="D19" s="4">
        <f t="shared" si="0"/>
        <v>45524.771527777775</v>
      </c>
      <c r="E19" s="6">
        <v>368</v>
      </c>
      <c r="F19" s="6">
        <v>195</v>
      </c>
      <c r="G19" s="7">
        <v>355.1</v>
      </c>
      <c r="H19" s="7">
        <v>262.137</v>
      </c>
      <c r="I19" s="7">
        <f t="shared" si="1"/>
        <v>12.899999999999977</v>
      </c>
    </row>
    <row r="20" spans="2:9">
      <c r="B20" s="9">
        <v>45525</v>
      </c>
      <c r="C20" s="2">
        <v>0.22777777777777777</v>
      </c>
      <c r="D20" s="4">
        <f t="shared" si="0"/>
        <v>45525.227777777778</v>
      </c>
      <c r="E20" s="6">
        <v>366</v>
      </c>
      <c r="F20" s="6">
        <v>195</v>
      </c>
      <c r="G20" s="7">
        <v>358.15</v>
      </c>
      <c r="H20" s="7">
        <v>264.63799999999998</v>
      </c>
      <c r="I20" s="7">
        <f t="shared" si="1"/>
        <v>7.8500000000000227</v>
      </c>
    </row>
    <row r="21" spans="2:9">
      <c r="B21" s="9">
        <v>45525</v>
      </c>
      <c r="C21" s="2">
        <v>0.46666666666666662</v>
      </c>
      <c r="D21" s="4">
        <f t="shared" si="0"/>
        <v>45525.466666666667</v>
      </c>
      <c r="E21" s="6">
        <v>368</v>
      </c>
      <c r="F21" s="6">
        <v>200</v>
      </c>
      <c r="G21" s="7">
        <v>355.5</v>
      </c>
      <c r="H21" s="7">
        <v>266.51299999999998</v>
      </c>
      <c r="I21" s="7">
        <f t="shared" si="1"/>
        <v>12.5</v>
      </c>
    </row>
    <row r="22" spans="2:9">
      <c r="B22" s="9">
        <v>45525</v>
      </c>
      <c r="C22" s="2">
        <v>0.70000000000000007</v>
      </c>
      <c r="D22" s="4">
        <f t="shared" si="0"/>
        <v>45525.7</v>
      </c>
      <c r="E22" s="6">
        <v>378</v>
      </c>
      <c r="F22" s="6">
        <v>200</v>
      </c>
      <c r="G22" s="7">
        <v>355.23</v>
      </c>
      <c r="H22" s="7">
        <v>261.512</v>
      </c>
      <c r="I22" s="7">
        <f t="shared" si="1"/>
        <v>22.769999999999982</v>
      </c>
    </row>
    <row r="23" spans="2:9">
      <c r="B23" s="9">
        <v>45526</v>
      </c>
      <c r="C23" s="2">
        <v>0.20486111111111113</v>
      </c>
      <c r="D23" s="4">
        <f t="shared" si="0"/>
        <v>45526.204861111109</v>
      </c>
      <c r="E23" s="6">
        <v>369</v>
      </c>
      <c r="F23" s="6">
        <v>200</v>
      </c>
      <c r="G23" s="7">
        <v>359.68</v>
      </c>
      <c r="H23" s="7">
        <v>262.762</v>
      </c>
      <c r="I23" s="7">
        <f t="shared" si="1"/>
        <v>9.3199999999999932</v>
      </c>
    </row>
    <row r="24" spans="2:9">
      <c r="B24" s="9">
        <v>45526</v>
      </c>
      <c r="C24" s="2">
        <v>0.43124999999999997</v>
      </c>
      <c r="D24" s="4">
        <f t="shared" si="0"/>
        <v>45526.431250000001</v>
      </c>
      <c r="E24" s="6">
        <v>366</v>
      </c>
      <c r="F24" s="6">
        <v>200</v>
      </c>
      <c r="G24" s="7">
        <v>353.97</v>
      </c>
      <c r="H24" s="7">
        <v>265.262</v>
      </c>
      <c r="I24" s="7">
        <f t="shared" si="1"/>
        <v>12.029999999999973</v>
      </c>
    </row>
    <row r="25" spans="2:9">
      <c r="B25" s="9">
        <v>45526</v>
      </c>
      <c r="C25" s="2">
        <v>0.54652777777777783</v>
      </c>
      <c r="D25" s="4">
        <f t="shared" si="0"/>
        <v>45526.546527777777</v>
      </c>
      <c r="E25" s="6">
        <v>368</v>
      </c>
      <c r="F25" s="6">
        <v>200</v>
      </c>
      <c r="G25" s="7">
        <v>357.36</v>
      </c>
      <c r="H25" s="7">
        <v>267.13799999999998</v>
      </c>
      <c r="I25" s="7">
        <f t="shared" si="1"/>
        <v>10.639999999999986</v>
      </c>
    </row>
    <row r="26" spans="2:9">
      <c r="B26" s="9">
        <v>45526</v>
      </c>
      <c r="C26" s="2">
        <v>0.70972222222222225</v>
      </c>
      <c r="D26" s="4">
        <f t="shared" si="0"/>
        <v>45526.709722222222</v>
      </c>
      <c r="E26" s="6">
        <v>370</v>
      </c>
      <c r="F26" s="6">
        <v>200</v>
      </c>
      <c r="G26" s="7">
        <v>358.29</v>
      </c>
      <c r="H26" s="7">
        <v>267.13799999999998</v>
      </c>
      <c r="I26" s="7">
        <f t="shared" si="1"/>
        <v>11.70999999999998</v>
      </c>
    </row>
    <row r="27" spans="2:9">
      <c r="B27" s="9">
        <v>45526</v>
      </c>
      <c r="C27" s="2">
        <v>0.8569444444444444</v>
      </c>
      <c r="D27" s="4">
        <f t="shared" si="0"/>
        <v>45526.856944444444</v>
      </c>
      <c r="E27" s="6">
        <v>370</v>
      </c>
      <c r="F27" s="6">
        <v>200</v>
      </c>
      <c r="G27" s="7">
        <v>353.97</v>
      </c>
      <c r="H27" s="7">
        <v>267.13799999999998</v>
      </c>
      <c r="I27" s="7">
        <f t="shared" si="1"/>
        <v>16.029999999999973</v>
      </c>
    </row>
    <row r="28" spans="2:9">
      <c r="B28" s="9">
        <v>45527</v>
      </c>
      <c r="C28" s="2">
        <v>0.20416666666666669</v>
      </c>
      <c r="D28" s="4">
        <f t="shared" si="0"/>
        <v>45527.20416666667</v>
      </c>
      <c r="E28" s="6">
        <v>367</v>
      </c>
      <c r="F28" s="6">
        <v>200</v>
      </c>
      <c r="G28" s="7">
        <v>358.02</v>
      </c>
      <c r="H28" s="7">
        <v>270.26299999999998</v>
      </c>
      <c r="I28" s="7">
        <f t="shared" si="1"/>
        <v>8.9800000000000182</v>
      </c>
    </row>
    <row r="29" spans="2:9">
      <c r="B29" s="9">
        <v>45527</v>
      </c>
      <c r="C29" s="2">
        <v>0.44027777777777777</v>
      </c>
      <c r="D29" s="4">
        <f t="shared" si="0"/>
        <v>45527.44027777778</v>
      </c>
      <c r="E29" s="6">
        <v>368</v>
      </c>
      <c r="F29" s="6">
        <v>200</v>
      </c>
      <c r="G29" s="7">
        <v>357.22</v>
      </c>
      <c r="H29" s="7">
        <v>270.26299999999998</v>
      </c>
      <c r="I29" s="7">
        <f t="shared" si="1"/>
        <v>10.779999999999973</v>
      </c>
    </row>
    <row r="30" spans="2:9">
      <c r="B30" s="9">
        <v>45527</v>
      </c>
      <c r="C30" s="2">
        <v>0.59305555555555556</v>
      </c>
      <c r="D30" s="4">
        <f t="shared" si="0"/>
        <v>45527.593055555553</v>
      </c>
      <c r="E30" s="6">
        <v>365</v>
      </c>
      <c r="F30" s="6">
        <v>210</v>
      </c>
      <c r="G30" s="7">
        <v>354.5</v>
      </c>
      <c r="H30" s="7">
        <v>272.13799999999998</v>
      </c>
      <c r="I30" s="7">
        <f t="shared" si="1"/>
        <v>10.5</v>
      </c>
    </row>
    <row r="31" spans="2:9">
      <c r="B31" s="9">
        <v>45527</v>
      </c>
      <c r="C31" s="2">
        <v>0.72569444444444453</v>
      </c>
      <c r="D31" s="4">
        <f t="shared" si="0"/>
        <v>45527.725694444445</v>
      </c>
      <c r="E31" s="6">
        <v>374</v>
      </c>
      <c r="F31" s="6">
        <v>200</v>
      </c>
      <c r="G31" s="7">
        <v>354.23</v>
      </c>
      <c r="H31" s="7">
        <v>271.51299999999998</v>
      </c>
      <c r="I31" s="7">
        <f t="shared" si="1"/>
        <v>19.769999999999982</v>
      </c>
    </row>
    <row r="32" spans="2:9">
      <c r="B32" s="9">
        <v>45527</v>
      </c>
      <c r="C32" s="2">
        <v>0.84236111111111101</v>
      </c>
      <c r="D32" s="4">
        <f t="shared" si="0"/>
        <v>45527.842361111114</v>
      </c>
      <c r="E32" s="6">
        <v>370</v>
      </c>
      <c r="F32" s="6">
        <v>200</v>
      </c>
      <c r="G32" s="7">
        <v>356.49</v>
      </c>
      <c r="H32" s="7">
        <v>271.51299999999998</v>
      </c>
      <c r="I32" s="7">
        <f t="shared" si="1"/>
        <v>13.509999999999991</v>
      </c>
    </row>
    <row r="33" spans="2:9">
      <c r="B33" s="9">
        <v>45528</v>
      </c>
      <c r="C33" s="2">
        <v>0.20347222222222219</v>
      </c>
      <c r="D33" s="4">
        <f t="shared" si="0"/>
        <v>45528.203472222223</v>
      </c>
      <c r="E33" s="6">
        <v>369</v>
      </c>
      <c r="F33" s="6">
        <v>210</v>
      </c>
      <c r="G33" s="7">
        <v>358.35</v>
      </c>
      <c r="H33" s="7">
        <v>270.26299999999998</v>
      </c>
      <c r="I33" s="7">
        <f t="shared" si="1"/>
        <v>10.649999999999977</v>
      </c>
    </row>
    <row r="34" spans="2:9">
      <c r="B34" s="9">
        <v>45528</v>
      </c>
      <c r="C34" s="2">
        <v>0.4284722222222222</v>
      </c>
      <c r="D34" s="4">
        <f t="shared" si="0"/>
        <v>45528.428472222222</v>
      </c>
      <c r="E34" s="6">
        <v>369</v>
      </c>
      <c r="F34" s="6">
        <v>210</v>
      </c>
      <c r="G34" s="7">
        <v>355.1</v>
      </c>
      <c r="H34" s="7">
        <v>270.88799999999998</v>
      </c>
      <c r="I34" s="7">
        <f t="shared" si="1"/>
        <v>13.899999999999977</v>
      </c>
    </row>
    <row r="35" spans="2:9">
      <c r="B35" s="9">
        <v>45528</v>
      </c>
      <c r="C35" s="2">
        <v>0.59027777777777779</v>
      </c>
      <c r="D35" s="4">
        <f t="shared" si="0"/>
        <v>45528.590277777781</v>
      </c>
      <c r="E35" s="6">
        <v>365</v>
      </c>
      <c r="F35" s="6">
        <v>210</v>
      </c>
      <c r="G35" s="7">
        <v>355.23</v>
      </c>
      <c r="H35" s="7">
        <v>270.88799999999998</v>
      </c>
      <c r="I35" s="7">
        <f t="shared" si="1"/>
        <v>9.7699999999999818</v>
      </c>
    </row>
    <row r="36" spans="2:9">
      <c r="B36" s="9">
        <v>45528</v>
      </c>
      <c r="C36" s="2">
        <v>0.82638888888888884</v>
      </c>
      <c r="D36" s="4">
        <f t="shared" si="0"/>
        <v>45528.826388888891</v>
      </c>
      <c r="E36" s="6">
        <v>370</v>
      </c>
      <c r="F36" s="6">
        <v>210</v>
      </c>
      <c r="G36" s="7">
        <v>356.29</v>
      </c>
      <c r="H36" s="7">
        <v>272.13799999999998</v>
      </c>
      <c r="I36" s="7">
        <f t="shared" si="1"/>
        <v>13.70999999999998</v>
      </c>
    </row>
    <row r="37" spans="2:9">
      <c r="B37" s="9">
        <v>45529</v>
      </c>
      <c r="C37" s="2">
        <v>0.20833333333333334</v>
      </c>
      <c r="D37" s="4">
        <f t="shared" si="0"/>
        <v>45529.208333333336</v>
      </c>
      <c r="E37" s="6">
        <v>364</v>
      </c>
      <c r="F37" s="6">
        <v>210</v>
      </c>
      <c r="G37" s="7">
        <v>358.68</v>
      </c>
      <c r="H37" s="7">
        <v>272.76299999999998</v>
      </c>
      <c r="I37" s="7">
        <f t="shared" si="1"/>
        <v>5.3199999999999932</v>
      </c>
    </row>
    <row r="38" spans="2:9">
      <c r="B38" s="9">
        <v>45529</v>
      </c>
      <c r="C38" s="2">
        <v>0.43472222222222223</v>
      </c>
      <c r="D38" s="4">
        <f t="shared" si="0"/>
        <v>45529.43472222222</v>
      </c>
      <c r="E38" s="6">
        <v>370</v>
      </c>
      <c r="F38" s="6">
        <v>210</v>
      </c>
      <c r="G38" s="7">
        <v>358.68</v>
      </c>
      <c r="H38" s="7">
        <v>271.51299999999998</v>
      </c>
      <c r="I38" s="7">
        <f t="shared" si="1"/>
        <v>11.319999999999993</v>
      </c>
    </row>
    <row r="39" spans="2:9">
      <c r="B39" s="9">
        <v>45529</v>
      </c>
      <c r="C39" s="2">
        <v>0.56319444444444444</v>
      </c>
      <c r="D39" s="4">
        <f t="shared" si="0"/>
        <v>45529.563194444447</v>
      </c>
      <c r="E39" s="6">
        <v>370</v>
      </c>
      <c r="F39" s="6">
        <v>210</v>
      </c>
      <c r="G39" s="7">
        <v>357.16</v>
      </c>
      <c r="H39" s="7">
        <v>271.51299999999998</v>
      </c>
      <c r="I39" s="7">
        <f t="shared" si="1"/>
        <v>12.839999999999975</v>
      </c>
    </row>
    <row r="40" spans="2:9">
      <c r="B40" s="9">
        <v>45530</v>
      </c>
      <c r="C40" s="2">
        <v>0.21041666666666667</v>
      </c>
      <c r="D40" s="4">
        <f t="shared" si="0"/>
        <v>45530.210416666669</v>
      </c>
      <c r="E40" s="6">
        <v>370</v>
      </c>
      <c r="F40" s="6">
        <v>210</v>
      </c>
      <c r="G40" s="7">
        <v>360.87</v>
      </c>
      <c r="H40" s="7">
        <v>270.88799999999998</v>
      </c>
      <c r="I40" s="7">
        <f t="shared" si="1"/>
        <v>9.1299999999999955</v>
      </c>
    </row>
    <row r="41" spans="2:9">
      <c r="B41" s="9">
        <v>45530</v>
      </c>
      <c r="C41" s="2">
        <v>0.37986111111111115</v>
      </c>
      <c r="D41" s="4">
        <f t="shared" si="0"/>
        <v>45530.379861111112</v>
      </c>
      <c r="E41" s="6">
        <v>374</v>
      </c>
      <c r="F41" s="6">
        <v>210</v>
      </c>
      <c r="G41" s="7">
        <v>361.94</v>
      </c>
      <c r="H41" s="7">
        <v>272.76299999999998</v>
      </c>
      <c r="I41" s="7">
        <f t="shared" si="1"/>
        <v>12.060000000000002</v>
      </c>
    </row>
    <row r="42" spans="2:9">
      <c r="B42" s="9">
        <v>45530</v>
      </c>
      <c r="C42" s="2">
        <v>0.48958333333333331</v>
      </c>
      <c r="D42" s="4">
        <f t="shared" si="0"/>
        <v>45530.489583333336</v>
      </c>
      <c r="E42" s="6">
        <v>372</v>
      </c>
      <c r="F42" s="6">
        <v>210</v>
      </c>
      <c r="G42" s="7">
        <v>360.34</v>
      </c>
      <c r="H42" s="7">
        <v>267.13799999999998</v>
      </c>
      <c r="I42" s="7">
        <f t="shared" si="1"/>
        <v>11.660000000000025</v>
      </c>
    </row>
    <row r="43" spans="2:9">
      <c r="B43" s="9">
        <v>45530</v>
      </c>
      <c r="C43" s="2">
        <v>0.75</v>
      </c>
      <c r="D43" s="4">
        <f t="shared" si="0"/>
        <v>45530.75</v>
      </c>
      <c r="E43" s="6">
        <v>369</v>
      </c>
      <c r="F43" s="6">
        <v>210</v>
      </c>
      <c r="G43" s="7">
        <v>363.13</v>
      </c>
      <c r="H43" s="7">
        <v>238.38499999999999</v>
      </c>
      <c r="I43" s="7">
        <f t="shared" si="1"/>
        <v>5.8700000000000045</v>
      </c>
    </row>
    <row r="44" spans="2:9">
      <c r="B44" s="9">
        <v>45530</v>
      </c>
      <c r="C44" s="2">
        <v>0.85416666666666663</v>
      </c>
      <c r="D44" s="4">
        <f t="shared" si="0"/>
        <v>45530.854166666664</v>
      </c>
      <c r="E44" s="6">
        <v>363</v>
      </c>
      <c r="F44" s="6">
        <v>200</v>
      </c>
      <c r="G44" s="7">
        <v>363.46</v>
      </c>
      <c r="H44" s="7">
        <v>236.51</v>
      </c>
      <c r="I44" s="7">
        <f t="shared" si="1"/>
        <v>-0.45999999999997954</v>
      </c>
    </row>
    <row r="45" spans="2:9">
      <c r="B45" s="9">
        <v>45531</v>
      </c>
      <c r="C45" s="2">
        <v>0.20138888888888887</v>
      </c>
      <c r="D45" s="4">
        <f t="shared" si="0"/>
        <v>45531.201388888891</v>
      </c>
      <c r="E45" s="6">
        <v>369</v>
      </c>
      <c r="F45" s="6">
        <v>200</v>
      </c>
      <c r="G45" s="7">
        <v>363</v>
      </c>
      <c r="H45" s="7">
        <v>234.01</v>
      </c>
      <c r="I45" s="7">
        <f t="shared" si="1"/>
        <v>6</v>
      </c>
    </row>
    <row r="46" spans="2:9">
      <c r="B46" s="9">
        <v>45531</v>
      </c>
      <c r="C46" s="2">
        <v>0.6381944444444444</v>
      </c>
      <c r="D46" s="4">
        <f t="shared" si="0"/>
        <v>45531.638194444444</v>
      </c>
      <c r="E46" s="6">
        <v>375</v>
      </c>
      <c r="F46" s="6">
        <v>200</v>
      </c>
      <c r="G46" s="7">
        <v>359.81</v>
      </c>
      <c r="H46" s="7">
        <v>223.38399999999999</v>
      </c>
      <c r="I46" s="7">
        <f t="shared" si="1"/>
        <v>15.189999999999998</v>
      </c>
    </row>
    <row r="47" spans="2:9">
      <c r="B47" s="9">
        <v>45531</v>
      </c>
      <c r="C47" s="2">
        <v>0.875</v>
      </c>
      <c r="D47" s="4">
        <f t="shared" si="0"/>
        <v>45531.875</v>
      </c>
      <c r="E47" s="6">
        <v>365</v>
      </c>
      <c r="F47" s="6">
        <v>195</v>
      </c>
      <c r="G47" s="7">
        <v>361.87</v>
      </c>
      <c r="H47" s="7">
        <v>227.13399999999999</v>
      </c>
      <c r="I47" s="7">
        <f t="shared" si="1"/>
        <v>3.1299999999999955</v>
      </c>
    </row>
    <row r="48" spans="2:9">
      <c r="B48" s="9">
        <v>45532</v>
      </c>
      <c r="C48" s="2">
        <v>0.21458333333333335</v>
      </c>
      <c r="D48" s="4">
        <f t="shared" si="0"/>
        <v>45532.214583333334</v>
      </c>
      <c r="E48" s="6">
        <v>369</v>
      </c>
      <c r="F48" s="6">
        <v>200</v>
      </c>
      <c r="G48" s="7">
        <v>362.73</v>
      </c>
      <c r="H48" s="7">
        <v>229.63399999999999</v>
      </c>
      <c r="I48" s="7">
        <f t="shared" si="1"/>
        <v>6.2699999999999818</v>
      </c>
    </row>
    <row r="49" spans="2:9">
      <c r="B49" s="9">
        <v>45532</v>
      </c>
      <c r="C49" s="2">
        <v>0.37083333333333335</v>
      </c>
      <c r="D49" s="4">
        <f t="shared" si="0"/>
        <v>45532.370833333334</v>
      </c>
      <c r="E49" s="6">
        <v>370</v>
      </c>
      <c r="F49" s="6">
        <v>200</v>
      </c>
      <c r="G49" s="7">
        <v>363.66</v>
      </c>
      <c r="H49" s="7">
        <v>227.75899999999999</v>
      </c>
      <c r="I49" s="7">
        <f t="shared" si="1"/>
        <v>6.339999999999975</v>
      </c>
    </row>
    <row r="50" spans="2:9">
      <c r="B50" s="9">
        <v>45532</v>
      </c>
      <c r="C50" s="2">
        <v>0.52847222222222223</v>
      </c>
      <c r="D50" s="4">
        <f t="shared" si="0"/>
        <v>45532.52847222222</v>
      </c>
      <c r="E50" s="6">
        <v>375</v>
      </c>
      <c r="F50" s="6">
        <v>205</v>
      </c>
      <c r="G50" s="7">
        <v>360.08</v>
      </c>
      <c r="H50" s="7">
        <v>237.13499999999999</v>
      </c>
      <c r="I50" s="7">
        <f t="shared" si="1"/>
        <v>14.920000000000016</v>
      </c>
    </row>
    <row r="51" spans="2:9">
      <c r="B51" s="9">
        <v>45532</v>
      </c>
      <c r="C51" s="2">
        <v>0.70972222222222225</v>
      </c>
      <c r="D51" s="4">
        <f t="shared" si="0"/>
        <v>45532.709722222222</v>
      </c>
      <c r="E51" s="6">
        <v>378</v>
      </c>
      <c r="F51" s="6">
        <v>200</v>
      </c>
      <c r="G51" s="7">
        <v>363.06</v>
      </c>
      <c r="H51" s="7">
        <v>228.38399999999999</v>
      </c>
      <c r="I51" s="7">
        <f t="shared" si="1"/>
        <v>14.939999999999998</v>
      </c>
    </row>
    <row r="52" spans="2:9">
      <c r="B52" s="9">
        <v>45532</v>
      </c>
      <c r="C52" s="2">
        <v>0.86597222222222225</v>
      </c>
      <c r="D52" s="4">
        <f t="shared" si="0"/>
        <v>45532.865972222222</v>
      </c>
      <c r="E52" s="6">
        <v>370</v>
      </c>
      <c r="F52" s="6">
        <v>200</v>
      </c>
      <c r="G52" s="7">
        <v>363.13</v>
      </c>
      <c r="H52" s="7">
        <v>229.00899999999999</v>
      </c>
      <c r="I52" s="7">
        <f t="shared" si="1"/>
        <v>6.8700000000000045</v>
      </c>
    </row>
    <row r="53" spans="2:9">
      <c r="B53" s="9">
        <v>45533</v>
      </c>
      <c r="C53" s="2">
        <v>0.19652777777777777</v>
      </c>
      <c r="D53" s="4">
        <f t="shared" si="0"/>
        <v>45533.196527777778</v>
      </c>
      <c r="E53" s="6">
        <v>372</v>
      </c>
      <c r="F53" s="6">
        <v>200</v>
      </c>
      <c r="G53" s="7">
        <v>365.98</v>
      </c>
      <c r="H53" s="7">
        <v>250.261</v>
      </c>
      <c r="I53" s="7">
        <f t="shared" si="1"/>
        <v>6.0199999999999818</v>
      </c>
    </row>
    <row r="54" spans="2:9">
      <c r="B54" s="9">
        <v>45533</v>
      </c>
      <c r="C54" s="2">
        <v>0.53472222222222221</v>
      </c>
      <c r="D54" s="4">
        <f t="shared" si="0"/>
        <v>45533.534722222219</v>
      </c>
      <c r="E54" s="6">
        <v>368</v>
      </c>
      <c r="F54" s="6">
        <v>195</v>
      </c>
      <c r="G54" s="7">
        <v>365.92</v>
      </c>
      <c r="H54" s="7">
        <v>246.511</v>
      </c>
      <c r="I54" s="7">
        <f t="shared" si="1"/>
        <v>2.0799999999999841</v>
      </c>
    </row>
    <row r="55" spans="2:9">
      <c r="B55" s="9">
        <v>45533</v>
      </c>
      <c r="C55" s="2">
        <v>0.79375000000000007</v>
      </c>
      <c r="D55" s="4">
        <f t="shared" si="0"/>
        <v>45533.793749999997</v>
      </c>
      <c r="E55" s="6">
        <v>371</v>
      </c>
      <c r="F55" s="6">
        <v>195</v>
      </c>
      <c r="G55" s="7">
        <v>363.33</v>
      </c>
      <c r="H55" s="7">
        <v>248.386</v>
      </c>
      <c r="I55" s="7">
        <f t="shared" si="1"/>
        <v>7.6700000000000159</v>
      </c>
    </row>
    <row r="56" spans="2:9">
      <c r="B56" s="9">
        <v>45534</v>
      </c>
      <c r="C56" s="2">
        <v>0.19722222222222222</v>
      </c>
      <c r="D56" s="4">
        <f t="shared" si="0"/>
        <v>45534.197222222225</v>
      </c>
      <c r="E56" s="6">
        <v>377</v>
      </c>
      <c r="F56" s="6">
        <v>200</v>
      </c>
      <c r="G56" s="7">
        <v>364.66</v>
      </c>
      <c r="H56" s="7">
        <v>254.011</v>
      </c>
      <c r="I56" s="7">
        <f t="shared" si="1"/>
        <v>12.339999999999975</v>
      </c>
    </row>
    <row r="57" spans="2:9">
      <c r="B57" s="9">
        <v>45534</v>
      </c>
      <c r="C57" s="2">
        <v>0.45763888888888887</v>
      </c>
      <c r="D57" s="4">
        <f t="shared" si="0"/>
        <v>45534.457638888889</v>
      </c>
      <c r="E57" s="6">
        <v>379</v>
      </c>
      <c r="F57" s="6">
        <v>200</v>
      </c>
      <c r="G57" s="7">
        <v>365.92</v>
      </c>
      <c r="H57" s="7">
        <v>249.636</v>
      </c>
      <c r="I57" s="7">
        <f t="shared" si="1"/>
        <v>13.079999999999984</v>
      </c>
    </row>
    <row r="58" spans="2:9">
      <c r="B58" s="9">
        <v>45534</v>
      </c>
      <c r="C58" s="2">
        <v>0.62916666666666665</v>
      </c>
      <c r="D58" s="4">
        <f t="shared" si="0"/>
        <v>45534.629166666666</v>
      </c>
      <c r="E58" s="6">
        <v>376</v>
      </c>
      <c r="F58" s="6">
        <v>200</v>
      </c>
      <c r="G58" s="7">
        <v>365.85</v>
      </c>
      <c r="H58" s="7">
        <v>247.761</v>
      </c>
      <c r="I58" s="7">
        <f t="shared" si="1"/>
        <v>10.149999999999977</v>
      </c>
    </row>
    <row r="59" spans="2:9">
      <c r="B59" s="9">
        <v>45534</v>
      </c>
      <c r="C59" s="2">
        <v>0.73819444444444438</v>
      </c>
      <c r="D59" s="4">
        <f t="shared" si="0"/>
        <v>45534.738194444442</v>
      </c>
      <c r="E59" s="6">
        <v>377</v>
      </c>
      <c r="F59" s="6">
        <v>200</v>
      </c>
      <c r="G59" s="7">
        <v>364.26</v>
      </c>
      <c r="H59" s="7">
        <v>247.761</v>
      </c>
      <c r="I59" s="7">
        <f t="shared" si="1"/>
        <v>12.740000000000009</v>
      </c>
    </row>
    <row r="60" spans="2:9">
      <c r="B60" s="9">
        <v>45535</v>
      </c>
      <c r="C60" s="3">
        <v>0.21527777777777779</v>
      </c>
      <c r="D60" s="4">
        <f t="shared" si="0"/>
        <v>45535.215277777781</v>
      </c>
      <c r="E60" s="6">
        <v>371</v>
      </c>
      <c r="F60" s="6">
        <v>200</v>
      </c>
      <c r="G60" s="7">
        <v>363.79</v>
      </c>
      <c r="H60" s="7">
        <v>252.136</v>
      </c>
      <c r="I60" s="7">
        <f t="shared" si="1"/>
        <v>7.2099999999999795</v>
      </c>
    </row>
    <row r="61" spans="2:9">
      <c r="B61" s="9">
        <v>45535</v>
      </c>
      <c r="C61" s="3">
        <v>0.39444444444444443</v>
      </c>
      <c r="D61" s="4">
        <f t="shared" si="0"/>
        <v>45535.394444444442</v>
      </c>
      <c r="E61" s="6">
        <v>372</v>
      </c>
      <c r="F61" s="6">
        <v>200</v>
      </c>
      <c r="G61" s="7">
        <v>364.52</v>
      </c>
      <c r="H61" s="7">
        <v>250.261</v>
      </c>
      <c r="I61" s="7">
        <f t="shared" si="1"/>
        <v>7.4800000000000182</v>
      </c>
    </row>
    <row r="62" spans="2:9">
      <c r="B62" s="9">
        <v>45535</v>
      </c>
      <c r="C62" s="2">
        <v>0.56597222222222221</v>
      </c>
      <c r="D62" s="4">
        <f t="shared" si="0"/>
        <v>45535.565972222219</v>
      </c>
      <c r="E62" s="6">
        <v>380</v>
      </c>
      <c r="F62" s="6">
        <v>200</v>
      </c>
      <c r="G62" s="7">
        <v>363.53</v>
      </c>
      <c r="H62" s="7">
        <v>247.136</v>
      </c>
      <c r="I62" s="7">
        <f t="shared" si="1"/>
        <v>16.470000000000027</v>
      </c>
    </row>
    <row r="63" spans="2:9">
      <c r="B63" s="9">
        <v>45535</v>
      </c>
      <c r="C63" s="2">
        <v>0.70763888888888893</v>
      </c>
      <c r="D63" s="4">
        <f t="shared" si="0"/>
        <v>45535.707638888889</v>
      </c>
      <c r="E63" s="6">
        <v>378</v>
      </c>
      <c r="F63" s="6">
        <v>200</v>
      </c>
      <c r="G63" s="7">
        <v>363.99</v>
      </c>
      <c r="H63" s="7">
        <v>247.761</v>
      </c>
      <c r="I63" s="7">
        <f t="shared" si="1"/>
        <v>14.009999999999991</v>
      </c>
    </row>
    <row r="64" spans="2:9">
      <c r="B64" s="9">
        <v>45535</v>
      </c>
      <c r="C64" s="2">
        <v>0.80138888888888893</v>
      </c>
      <c r="D64" s="4">
        <f t="shared" si="0"/>
        <v>45535.801388888889</v>
      </c>
      <c r="E64" s="6">
        <v>372</v>
      </c>
      <c r="F64" s="6">
        <v>200</v>
      </c>
      <c r="G64" s="7">
        <v>363.66</v>
      </c>
      <c r="H64" s="7">
        <v>249.011</v>
      </c>
      <c r="I64" s="7">
        <f t="shared" si="1"/>
        <v>8.339999999999975</v>
      </c>
    </row>
    <row r="65" spans="2:9">
      <c r="B65" s="9">
        <v>45536</v>
      </c>
      <c r="C65" s="2">
        <v>0.21666666666666667</v>
      </c>
      <c r="D65" s="4">
        <f t="shared" si="0"/>
        <v>45536.216666666667</v>
      </c>
      <c r="E65" s="6">
        <v>365</v>
      </c>
      <c r="F65" s="6">
        <v>200</v>
      </c>
      <c r="G65" s="7">
        <v>364.52</v>
      </c>
      <c r="H65" s="7">
        <v>252.136</v>
      </c>
      <c r="I65" s="7">
        <f t="shared" si="1"/>
        <v>0.48000000000001819</v>
      </c>
    </row>
    <row r="66" spans="2:9">
      <c r="B66" s="9">
        <v>45536</v>
      </c>
      <c r="C66" s="2">
        <v>0.35972222222222222</v>
      </c>
      <c r="D66" s="4">
        <f t="shared" si="0"/>
        <v>45536.359722222223</v>
      </c>
      <c r="E66" s="6">
        <v>375</v>
      </c>
      <c r="F66" s="6">
        <v>200</v>
      </c>
      <c r="G66" s="7">
        <v>365.65</v>
      </c>
      <c r="H66" s="7">
        <v>252.136</v>
      </c>
      <c r="I66" s="7">
        <f t="shared" si="1"/>
        <v>9.3500000000000227</v>
      </c>
    </row>
    <row r="67" spans="2:9">
      <c r="B67" s="9">
        <v>45536</v>
      </c>
      <c r="C67" s="2">
        <v>0.43611111111111112</v>
      </c>
      <c r="D67" s="4">
        <f t="shared" si="0"/>
        <v>45536.436111111114</v>
      </c>
      <c r="E67" s="6">
        <v>375</v>
      </c>
      <c r="F67" s="6">
        <v>200</v>
      </c>
      <c r="G67" s="7">
        <v>365.85</v>
      </c>
      <c r="H67" s="7">
        <v>248.386</v>
      </c>
      <c r="I67" s="7">
        <f t="shared" si="1"/>
        <v>9.1499999999999773</v>
      </c>
    </row>
    <row r="68" spans="2:9">
      <c r="B68" s="9">
        <v>45536</v>
      </c>
      <c r="C68" s="2">
        <v>0.51458333333333328</v>
      </c>
      <c r="D68" s="4">
        <f t="shared" si="0"/>
        <v>45536.51458333333</v>
      </c>
      <c r="E68" s="6">
        <v>379</v>
      </c>
      <c r="F68" s="6">
        <v>200</v>
      </c>
      <c r="G68" s="7">
        <v>365.39</v>
      </c>
      <c r="H68" s="7">
        <v>247.136</v>
      </c>
      <c r="I68" s="7">
        <f t="shared" si="1"/>
        <v>13.610000000000014</v>
      </c>
    </row>
    <row r="69" spans="2:9">
      <c r="B69" s="9">
        <v>45536</v>
      </c>
      <c r="C69" s="2">
        <v>0.62847222222222221</v>
      </c>
      <c r="D69" s="4">
        <f t="shared" si="0"/>
        <v>45536.628472222219</v>
      </c>
      <c r="E69" s="6">
        <v>372</v>
      </c>
      <c r="F69" s="6">
        <v>200</v>
      </c>
      <c r="G69" s="7">
        <v>363.6</v>
      </c>
      <c r="H69" s="7">
        <v>246.511</v>
      </c>
      <c r="I69" s="7">
        <f t="shared" si="1"/>
        <v>8.3999999999999773</v>
      </c>
    </row>
    <row r="70" spans="2:9">
      <c r="B70" s="9">
        <v>45536</v>
      </c>
      <c r="C70" s="2">
        <v>0.8125</v>
      </c>
      <c r="D70" s="4">
        <f t="shared" ref="D70:D79" si="2">B70+C70</f>
        <v>45536.8125</v>
      </c>
      <c r="E70" s="6">
        <v>382</v>
      </c>
      <c r="F70" s="6">
        <v>200</v>
      </c>
      <c r="G70" s="7">
        <v>363.99</v>
      </c>
      <c r="H70" s="7">
        <v>248.386</v>
      </c>
      <c r="I70" s="7">
        <f t="shared" si="1"/>
        <v>18.009999999999991</v>
      </c>
    </row>
    <row r="71" spans="2:9">
      <c r="B71" s="9">
        <v>45537</v>
      </c>
      <c r="C71" s="2">
        <v>0.21041666666666667</v>
      </c>
      <c r="D71" s="4">
        <f t="shared" si="2"/>
        <v>45537.210416666669</v>
      </c>
      <c r="E71" s="6">
        <v>374</v>
      </c>
      <c r="F71" s="6">
        <v>200</v>
      </c>
      <c r="G71" s="7">
        <v>363.6</v>
      </c>
      <c r="H71" s="7">
        <v>252.136</v>
      </c>
      <c r="I71" s="7">
        <f t="shared" si="1"/>
        <v>10.399999999999977</v>
      </c>
    </row>
    <row r="72" spans="2:9">
      <c r="B72" s="9">
        <v>45537</v>
      </c>
      <c r="C72" s="2">
        <v>0.33888888888888885</v>
      </c>
      <c r="D72" s="4">
        <f t="shared" si="2"/>
        <v>45537.338888888888</v>
      </c>
      <c r="E72" s="6">
        <v>377</v>
      </c>
      <c r="F72" s="6">
        <v>200</v>
      </c>
      <c r="G72" s="7">
        <v>363.99</v>
      </c>
      <c r="H72" s="7">
        <v>253.386</v>
      </c>
      <c r="I72" s="7">
        <f t="shared" si="1"/>
        <v>13.009999999999991</v>
      </c>
    </row>
    <row r="73" spans="2:9">
      <c r="B73" s="9">
        <v>45537</v>
      </c>
      <c r="C73" s="2">
        <v>0.51527777777777783</v>
      </c>
      <c r="D73" s="4">
        <f t="shared" si="2"/>
        <v>45537.515277777777</v>
      </c>
      <c r="E73" s="6">
        <v>379</v>
      </c>
      <c r="F73" s="6">
        <v>200</v>
      </c>
      <c r="G73" s="7">
        <v>361.2</v>
      </c>
      <c r="H73" s="7">
        <v>248.386</v>
      </c>
      <c r="I73" s="7">
        <f t="shared" si="1"/>
        <v>17.800000000000011</v>
      </c>
    </row>
    <row r="74" spans="2:9">
      <c r="B74" s="9">
        <v>45537</v>
      </c>
      <c r="C74" s="2">
        <v>0.58819444444444446</v>
      </c>
      <c r="D74" s="4">
        <f t="shared" si="2"/>
        <v>45537.588194444441</v>
      </c>
      <c r="E74" s="6">
        <v>376</v>
      </c>
      <c r="F74" s="6">
        <v>200</v>
      </c>
      <c r="G74" s="7">
        <v>364.59</v>
      </c>
      <c r="H74" s="7">
        <v>247.136</v>
      </c>
      <c r="I74" s="7">
        <f t="shared" ref="I74:I79" si="3">E74-G74</f>
        <v>11.410000000000025</v>
      </c>
    </row>
    <row r="75" spans="2:9">
      <c r="B75" s="9">
        <v>45537</v>
      </c>
      <c r="C75" s="2">
        <v>0.67013888888888884</v>
      </c>
      <c r="D75" s="4">
        <f t="shared" si="2"/>
        <v>45537.670138888891</v>
      </c>
      <c r="E75" s="6">
        <v>372</v>
      </c>
      <c r="F75" s="6">
        <v>200</v>
      </c>
      <c r="G75" s="7">
        <v>360.28</v>
      </c>
      <c r="H75" s="7">
        <v>248.386</v>
      </c>
      <c r="I75" s="7">
        <f t="shared" si="3"/>
        <v>11.720000000000027</v>
      </c>
    </row>
    <row r="76" spans="2:9">
      <c r="B76" s="9">
        <v>45537</v>
      </c>
      <c r="C76" s="2">
        <v>0.79375000000000007</v>
      </c>
      <c r="D76" s="4">
        <f t="shared" si="2"/>
        <v>45537.793749999997</v>
      </c>
      <c r="E76" s="6">
        <v>374</v>
      </c>
      <c r="F76" s="6">
        <v>200</v>
      </c>
      <c r="G76" s="7">
        <v>365.12</v>
      </c>
      <c r="H76" s="7">
        <v>251.511</v>
      </c>
      <c r="I76" s="7">
        <f t="shared" si="3"/>
        <v>8.8799999999999955</v>
      </c>
    </row>
    <row r="77" spans="2:9">
      <c r="B77" s="9">
        <v>45538</v>
      </c>
      <c r="C77" s="2">
        <v>0.21527777777777779</v>
      </c>
      <c r="D77" s="4">
        <f t="shared" si="2"/>
        <v>45538.215277777781</v>
      </c>
      <c r="E77" s="6">
        <v>376</v>
      </c>
      <c r="F77" s="6">
        <v>200</v>
      </c>
      <c r="G77" s="7">
        <v>365.45</v>
      </c>
      <c r="H77" s="7">
        <v>252.761</v>
      </c>
      <c r="I77" s="7">
        <f t="shared" si="3"/>
        <v>10.550000000000011</v>
      </c>
    </row>
    <row r="78" spans="2:9">
      <c r="B78" s="9">
        <v>45538</v>
      </c>
      <c r="C78" s="2">
        <v>0.71250000000000002</v>
      </c>
      <c r="D78" s="4">
        <f t="shared" si="2"/>
        <v>45538.712500000001</v>
      </c>
      <c r="E78" s="6">
        <v>385</v>
      </c>
      <c r="F78" s="6">
        <v>200</v>
      </c>
      <c r="G78" s="7">
        <v>363.93</v>
      </c>
      <c r="H78" s="7">
        <v>245.261</v>
      </c>
      <c r="I78" s="7">
        <f t="shared" si="3"/>
        <v>21.069999999999993</v>
      </c>
    </row>
    <row r="79" spans="2:9">
      <c r="B79" s="9">
        <v>45538</v>
      </c>
      <c r="C79" s="2">
        <v>0.83124999999999993</v>
      </c>
      <c r="D79" s="4">
        <f t="shared" si="2"/>
        <v>45538.831250000003</v>
      </c>
      <c r="E79" s="6">
        <v>381</v>
      </c>
      <c r="F79" s="6">
        <v>200</v>
      </c>
      <c r="G79" s="7">
        <v>362.6</v>
      </c>
      <c r="H79" s="7">
        <v>248.386</v>
      </c>
      <c r="I79" s="7">
        <f t="shared" si="3"/>
        <v>18.399999999999977</v>
      </c>
    </row>
    <row r="80" spans="2:9">
      <c r="B80" s="6" t="s">
        <v>15</v>
      </c>
      <c r="D80" s="4"/>
      <c r="I80" s="7">
        <f>AVERAGE(I10:I79,I5:I6)</f>
        <v>11.261249999999997</v>
      </c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4"/>
    </row>
    <row r="91" spans="4:4">
      <c r="D91" s="4"/>
    </row>
    <row r="92" spans="4:4">
      <c r="D92" s="4"/>
    </row>
    <row r="93" spans="4:4">
      <c r="D93" s="4"/>
    </row>
    <row r="94" spans="4:4">
      <c r="D94" s="4"/>
    </row>
  </sheetData>
  <mergeCells count="2">
    <mergeCell ref="G2:H2"/>
    <mergeCell ref="E2:F2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Manual</vt:lpstr>
      <vt:lpstr>P and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England</dc:creator>
  <cp:lastModifiedBy>John McLennan</cp:lastModifiedBy>
  <cp:lastPrinted>2024-09-03T12:47:46Z</cp:lastPrinted>
  <dcterms:created xsi:type="dcterms:W3CDTF">2024-08-30T23:48:01Z</dcterms:created>
  <dcterms:modified xsi:type="dcterms:W3CDTF">2024-10-08T00:16:07Z</dcterms:modified>
</cp:coreProperties>
</file>